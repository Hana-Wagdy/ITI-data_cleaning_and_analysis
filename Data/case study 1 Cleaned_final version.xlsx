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ana\ITI\Study case 1\"/>
    </mc:Choice>
  </mc:AlternateContent>
  <xr:revisionPtr revIDLastSave="0" documentId="13_ncr:1_{1E5C8041-E4E0-4768-BE7C-71E394799FD8}" xr6:coauthVersionLast="47" xr6:coauthVersionMax="47" xr10:uidLastSave="{00000000-0000-0000-0000-000000000000}"/>
  <bookViews>
    <workbookView xWindow="-108" yWindow="-108" windowWidth="23256" windowHeight="12576" activeTab="1" xr2:uid="{00000000-000D-0000-FFFF-FFFF00000000}"/>
  </bookViews>
  <sheets>
    <sheet name="Part A_classifictaion" sheetId="5" r:id="rId1"/>
    <sheet name="Part B_cleaned sheet" sheetId="1" r:id="rId2"/>
    <sheet name="Part C" sheetId="3" r:id="rId3"/>
    <sheet name="cleaning log" sheetId="2" r:id="rId4"/>
    <sheet name="data_dictionary" sheetId="4"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 i="1" l="1"/>
  <c r="T10" i="1"/>
  <c r="T9" i="1"/>
  <c r="T8" i="1"/>
  <c r="S7" i="1"/>
  <c r="S6" i="1"/>
  <c r="S5" i="1"/>
  <c r="S4" i="1"/>
</calcChain>
</file>

<file path=xl/sharedStrings.xml><?xml version="1.0" encoding="utf-8"?>
<sst xmlns="http://schemas.openxmlformats.org/spreadsheetml/2006/main" count="2072" uniqueCount="424">
  <si>
    <t>student_id</t>
  </si>
  <si>
    <t>branch</t>
  </si>
  <si>
    <t>track</t>
  </si>
  <si>
    <t>gender</t>
  </si>
  <si>
    <t>age</t>
  </si>
  <si>
    <t>study_hours_week</t>
  </si>
  <si>
    <t>commute_minutes</t>
  </si>
  <si>
    <t>sleep_hours</t>
  </si>
  <si>
    <t>projects_submitted</t>
  </si>
  <si>
    <t>satisfaction_1to5</t>
  </si>
  <si>
    <t>has_laptop</t>
  </si>
  <si>
    <t>transport</t>
  </si>
  <si>
    <t>pets_at_home</t>
  </si>
  <si>
    <t>favorite_sport</t>
  </si>
  <si>
    <t>final_score</t>
  </si>
  <si>
    <t>iti-1005</t>
  </si>
  <si>
    <t>assiut</t>
  </si>
  <si>
    <t>web development</t>
  </si>
  <si>
    <t>female</t>
  </si>
  <si>
    <t>yes</t>
  </si>
  <si>
    <t>car</t>
  </si>
  <si>
    <t>swimming</t>
  </si>
  <si>
    <t xml:space="preserve">commute_minutes vs final_score </t>
  </si>
  <si>
    <t>iti-1007</t>
  </si>
  <si>
    <t>alexandria</t>
  </si>
  <si>
    <t>embedded systems</t>
  </si>
  <si>
    <t>male</t>
  </si>
  <si>
    <t>bus</t>
  </si>
  <si>
    <t>running</t>
  </si>
  <si>
    <t>study_hours_week vs final_score</t>
  </si>
  <si>
    <t>iti-1046</t>
  </si>
  <si>
    <t>cairo</t>
  </si>
  <si>
    <t>data science</t>
  </si>
  <si>
    <t>football</t>
  </si>
  <si>
    <t>sleep_hours vs final_score</t>
  </si>
  <si>
    <t>iti-1062</t>
  </si>
  <si>
    <t>mansoura</t>
  </si>
  <si>
    <t>walk</t>
  </si>
  <si>
    <t>basketball</t>
  </si>
  <si>
    <t>Median of commute min.</t>
  </si>
  <si>
    <t>iti-1093</t>
  </si>
  <si>
    <t>Short Commute</t>
  </si>
  <si>
    <t>Mean</t>
  </si>
  <si>
    <t>iti-1119</t>
  </si>
  <si>
    <t>no</t>
  </si>
  <si>
    <t>SD</t>
  </si>
  <si>
    <t>iti-1155</t>
  </si>
  <si>
    <t>menoufia</t>
  </si>
  <si>
    <t>cyber security</t>
  </si>
  <si>
    <t>volleyball</t>
  </si>
  <si>
    <t>Long Commute</t>
  </si>
  <si>
    <t>iti-1232</t>
  </si>
  <si>
    <t>iti-1236</t>
  </si>
  <si>
    <t>iti-1259</t>
  </si>
  <si>
    <t>metro</t>
  </si>
  <si>
    <t>iti-1001</t>
  </si>
  <si>
    <t>iti-1002</t>
  </si>
  <si>
    <t>iti-1003</t>
  </si>
  <si>
    <t>iti-1004</t>
  </si>
  <si>
    <t>microbus</t>
  </si>
  <si>
    <t>not specified</t>
  </si>
  <si>
    <t>iti-1006</t>
  </si>
  <si>
    <t>iti-1008</t>
  </si>
  <si>
    <t>iti-1009</t>
  </si>
  <si>
    <t>iti-1010</t>
  </si>
  <si>
    <t>iti-1011</t>
  </si>
  <si>
    <t>iti-1012</t>
  </si>
  <si>
    <t>iti-1013</t>
  </si>
  <si>
    <t>iti-1014</t>
  </si>
  <si>
    <t>iti-1015</t>
  </si>
  <si>
    <t>iti-1016</t>
  </si>
  <si>
    <t>ui/ux</t>
  </si>
  <si>
    <t>iti-1017</t>
  </si>
  <si>
    <t>iti-1018</t>
  </si>
  <si>
    <t>iti-1019</t>
  </si>
  <si>
    <t>iti-1020</t>
  </si>
  <si>
    <t>iti-1021</t>
  </si>
  <si>
    <t>iti-1022</t>
  </si>
  <si>
    <t>iti-1023</t>
  </si>
  <si>
    <t>iti-1024</t>
  </si>
  <si>
    <t>iti-1025</t>
  </si>
  <si>
    <t>iti-1026</t>
  </si>
  <si>
    <t>iti-1027</t>
  </si>
  <si>
    <t>iti-1028</t>
  </si>
  <si>
    <t>iti-1029</t>
  </si>
  <si>
    <t>iti-1030</t>
  </si>
  <si>
    <t>iti-1031</t>
  </si>
  <si>
    <t>iti-1032</t>
  </si>
  <si>
    <t>iti-1033</t>
  </si>
  <si>
    <t>iti-1034</t>
  </si>
  <si>
    <t>iti-1035</t>
  </si>
  <si>
    <t>iti-1036</t>
  </si>
  <si>
    <t>iti-1037</t>
  </si>
  <si>
    <t>iti-1038</t>
  </si>
  <si>
    <t>iti-1039</t>
  </si>
  <si>
    <t>iti-1040</t>
  </si>
  <si>
    <t>iti-1041</t>
  </si>
  <si>
    <t>iti-1042</t>
  </si>
  <si>
    <t>iti-1043</t>
  </si>
  <si>
    <t>iti-1044</t>
  </si>
  <si>
    <t>iti-1045</t>
  </si>
  <si>
    <t>iti-1047</t>
  </si>
  <si>
    <t>iti-1048</t>
  </si>
  <si>
    <t>iti-1049</t>
  </si>
  <si>
    <t>iti-1050</t>
  </si>
  <si>
    <t>iti-1051</t>
  </si>
  <si>
    <t>iti-1052</t>
  </si>
  <si>
    <t>iti-1053</t>
  </si>
  <si>
    <t>iti-1054</t>
  </si>
  <si>
    <t>iti-1055</t>
  </si>
  <si>
    <t>iti-1056</t>
  </si>
  <si>
    <t>iti-1057</t>
  </si>
  <si>
    <t>iti-1058</t>
  </si>
  <si>
    <t>iti-1059</t>
  </si>
  <si>
    <t>iti-1060</t>
  </si>
  <si>
    <t>iti-1061</t>
  </si>
  <si>
    <t>iti-1063</t>
  </si>
  <si>
    <t>iti-1064</t>
  </si>
  <si>
    <t>iti-1065</t>
  </si>
  <si>
    <t>iti-1066</t>
  </si>
  <si>
    <t>iti-1067</t>
  </si>
  <si>
    <t>iti-1068</t>
  </si>
  <si>
    <t>iti-1069</t>
  </si>
  <si>
    <t>iti-1070</t>
  </si>
  <si>
    <t>iti-1071</t>
  </si>
  <si>
    <t>iti-1072</t>
  </si>
  <si>
    <t>iti-1073</t>
  </si>
  <si>
    <t>iti-1074</t>
  </si>
  <si>
    <t>iti-1075</t>
  </si>
  <si>
    <t>iti-1076</t>
  </si>
  <si>
    <t>iti-1077</t>
  </si>
  <si>
    <t>iti-1078</t>
  </si>
  <si>
    <t>iti-1079</t>
  </si>
  <si>
    <t>iti-1080</t>
  </si>
  <si>
    <t>iti-1081</t>
  </si>
  <si>
    <t>iti-1082</t>
  </si>
  <si>
    <t>iti-1083</t>
  </si>
  <si>
    <t>iti-1084</t>
  </si>
  <si>
    <t>iti-1085</t>
  </si>
  <si>
    <t>iti-1086</t>
  </si>
  <si>
    <t>iti-1087</t>
  </si>
  <si>
    <t>iti-1088</t>
  </si>
  <si>
    <t>iti-1089</t>
  </si>
  <si>
    <t>iti-1090</t>
  </si>
  <si>
    <t>iti-1091</t>
  </si>
  <si>
    <t>iti-1092</t>
  </si>
  <si>
    <t>iti-1094</t>
  </si>
  <si>
    <t>iti-1095</t>
  </si>
  <si>
    <t>iti-1096</t>
  </si>
  <si>
    <t>iti-1097</t>
  </si>
  <si>
    <t>iti-1098</t>
  </si>
  <si>
    <t>iti-1099</t>
  </si>
  <si>
    <t>iti-1100</t>
  </si>
  <si>
    <t>iti-1101</t>
  </si>
  <si>
    <t>iti-1102</t>
  </si>
  <si>
    <t>iti-1103</t>
  </si>
  <si>
    <t>iti-1104</t>
  </si>
  <si>
    <t>iti-1105</t>
  </si>
  <si>
    <t>iti-1106</t>
  </si>
  <si>
    <t>iti-1107</t>
  </si>
  <si>
    <t>iti-1108</t>
  </si>
  <si>
    <t>iti-1109</t>
  </si>
  <si>
    <t>iti-1110</t>
  </si>
  <si>
    <t>iti-1111</t>
  </si>
  <si>
    <t>iti-1112</t>
  </si>
  <si>
    <t>iti-1113</t>
  </si>
  <si>
    <t>iti-1114</t>
  </si>
  <si>
    <t>iti-1115</t>
  </si>
  <si>
    <t>iti-1116</t>
  </si>
  <si>
    <t>iti-1117</t>
  </si>
  <si>
    <t>iti-1118</t>
  </si>
  <si>
    <t>iti-1120</t>
  </si>
  <si>
    <t>iti-1121</t>
  </si>
  <si>
    <t>iti-1122</t>
  </si>
  <si>
    <t>iti-1123</t>
  </si>
  <si>
    <t>iti-1124</t>
  </si>
  <si>
    <t>iti-1125</t>
  </si>
  <si>
    <t>iti-1126</t>
  </si>
  <si>
    <t>iti-1127</t>
  </si>
  <si>
    <t>iti-1128</t>
  </si>
  <si>
    <t>iti-1129</t>
  </si>
  <si>
    <t>iti-1130</t>
  </si>
  <si>
    <t>iti-1131</t>
  </si>
  <si>
    <t>iti-1132</t>
  </si>
  <si>
    <t>iti-1133</t>
  </si>
  <si>
    <t>iti-1134</t>
  </si>
  <si>
    <t>iti-1135</t>
  </si>
  <si>
    <t>iti-1136</t>
  </si>
  <si>
    <t>iti-1137</t>
  </si>
  <si>
    <t>iti-1138</t>
  </si>
  <si>
    <t>iti-1139</t>
  </si>
  <si>
    <t>iti-1140</t>
  </si>
  <si>
    <t>iti-1141</t>
  </si>
  <si>
    <t>iti-1142</t>
  </si>
  <si>
    <t>iti-1143</t>
  </si>
  <si>
    <t>iti-1144</t>
  </si>
  <si>
    <t>iti-1145</t>
  </si>
  <si>
    <t>iti-1146</t>
  </si>
  <si>
    <t>iti-1147</t>
  </si>
  <si>
    <t>iti-1148</t>
  </si>
  <si>
    <t>iti-1149</t>
  </si>
  <si>
    <t>iti-1150</t>
  </si>
  <si>
    <t>iti-1151</t>
  </si>
  <si>
    <t>iti-1152</t>
  </si>
  <si>
    <t>iti-1153</t>
  </si>
  <si>
    <t>iti-1154</t>
  </si>
  <si>
    <t>iti-1156</t>
  </si>
  <si>
    <t>iti-1157</t>
  </si>
  <si>
    <t>iti-1158</t>
  </si>
  <si>
    <t>iti-1159</t>
  </si>
  <si>
    <t>iti-1160</t>
  </si>
  <si>
    <t>iti-1161</t>
  </si>
  <si>
    <t>iti-1162</t>
  </si>
  <si>
    <t>iti-1163</t>
  </si>
  <si>
    <t>iti-1164</t>
  </si>
  <si>
    <t>iti-1165</t>
  </si>
  <si>
    <t>iti-1166</t>
  </si>
  <si>
    <t>iti-1167</t>
  </si>
  <si>
    <t>iti-1168</t>
  </si>
  <si>
    <t>iti-1169</t>
  </si>
  <si>
    <t>iti-1170</t>
  </si>
  <si>
    <t>iti-1171</t>
  </si>
  <si>
    <t>iti-1172</t>
  </si>
  <si>
    <t>iti-1173</t>
  </si>
  <si>
    <t>iti-1174</t>
  </si>
  <si>
    <t>iti-1175</t>
  </si>
  <si>
    <t>iti-1176</t>
  </si>
  <si>
    <t>iti-1177</t>
  </si>
  <si>
    <t>iti-1178</t>
  </si>
  <si>
    <t>iti-1179</t>
  </si>
  <si>
    <t>iti-1180</t>
  </si>
  <si>
    <t>iti-1181</t>
  </si>
  <si>
    <t>iti-1182</t>
  </si>
  <si>
    <t>iti-1183</t>
  </si>
  <si>
    <t>iti-1184</t>
  </si>
  <si>
    <t>iti-1185</t>
  </si>
  <si>
    <t>iti-1186</t>
  </si>
  <si>
    <t>iti-1187</t>
  </si>
  <si>
    <t>iti-1188</t>
  </si>
  <si>
    <t>iti-1189</t>
  </si>
  <si>
    <t>iti-1190</t>
  </si>
  <si>
    <t>iti-1191</t>
  </si>
  <si>
    <t>iti-1192</t>
  </si>
  <si>
    <t>iti-1193</t>
  </si>
  <si>
    <t>iti-1194</t>
  </si>
  <si>
    <t>iti-1195</t>
  </si>
  <si>
    <t>iti-1196</t>
  </si>
  <si>
    <t>iti-1197</t>
  </si>
  <si>
    <t>iti-1198</t>
  </si>
  <si>
    <t>iti-1199</t>
  </si>
  <si>
    <t>iti-1200</t>
  </si>
  <si>
    <t>iti-1201</t>
  </si>
  <si>
    <t>iti-1202</t>
  </si>
  <si>
    <t>iti-1203</t>
  </si>
  <si>
    <t>iti-1204</t>
  </si>
  <si>
    <t>iti-1205</t>
  </si>
  <si>
    <t>iti-1206</t>
  </si>
  <si>
    <t>iti-1207</t>
  </si>
  <si>
    <t>iti-1208</t>
  </si>
  <si>
    <t>iti-1209</t>
  </si>
  <si>
    <t>iti-1210</t>
  </si>
  <si>
    <t>iti-1211</t>
  </si>
  <si>
    <t>iti-1212</t>
  </si>
  <si>
    <t>iti-1213</t>
  </si>
  <si>
    <t>iti-1214</t>
  </si>
  <si>
    <t>iti-1215</t>
  </si>
  <si>
    <t>iti-1216</t>
  </si>
  <si>
    <t>iti-1217</t>
  </si>
  <si>
    <t>iti-1218</t>
  </si>
  <si>
    <t>iti-1219</t>
  </si>
  <si>
    <t>iti-1220</t>
  </si>
  <si>
    <t>iti-1221</t>
  </si>
  <si>
    <t>iti-1222</t>
  </si>
  <si>
    <t>iti-1223</t>
  </si>
  <si>
    <t>iti-1224</t>
  </si>
  <si>
    <t>iti-1225</t>
  </si>
  <si>
    <t>iti-1226</t>
  </si>
  <si>
    <t>iti-1227</t>
  </si>
  <si>
    <t>iti-1228</t>
  </si>
  <si>
    <t>iti-1229</t>
  </si>
  <si>
    <t>iti-1230</t>
  </si>
  <si>
    <t>iti-1231</t>
  </si>
  <si>
    <t>iti-1233</t>
  </si>
  <si>
    <t>iti-1234</t>
  </si>
  <si>
    <t>iti-1235</t>
  </si>
  <si>
    <t>iti-1237</t>
  </si>
  <si>
    <t>iti-1238</t>
  </si>
  <si>
    <t>iti-1239</t>
  </si>
  <si>
    <t>iti-1240</t>
  </si>
  <si>
    <t>iti-1241</t>
  </si>
  <si>
    <t>iti-1242</t>
  </si>
  <si>
    <t>iti-1243</t>
  </si>
  <si>
    <t>iti-1244</t>
  </si>
  <si>
    <t>iti-1245</t>
  </si>
  <si>
    <t>iti-1246</t>
  </si>
  <si>
    <t>iti-1247</t>
  </si>
  <si>
    <t>iti-1248</t>
  </si>
  <si>
    <t>iti-1249</t>
  </si>
  <si>
    <t>iti-1250</t>
  </si>
  <si>
    <t>iti-1251</t>
  </si>
  <si>
    <t>iti-1252</t>
  </si>
  <si>
    <t>iti-1253</t>
  </si>
  <si>
    <t>iti-1254</t>
  </si>
  <si>
    <t>iti-1255</t>
  </si>
  <si>
    <t>iti-1256</t>
  </si>
  <si>
    <t>iti-1257</t>
  </si>
  <si>
    <t>iti-1258</t>
  </si>
  <si>
    <t>iti-1260</t>
  </si>
  <si>
    <t>Metric</t>
  </si>
  <si>
    <t>Value</t>
  </si>
  <si>
    <t>Commute Mean (min)</t>
  </si>
  <si>
    <t>Commute Median (min)</t>
  </si>
  <si>
    <t>Commute Standard Deviation (min)</t>
  </si>
  <si>
    <t>Commute IQR (min)</t>
  </si>
  <si>
    <t>Commute CV (%)</t>
  </si>
  <si>
    <t>Final Score CV (%)</t>
  </si>
  <si>
    <t>1.5x IQR Lower Fence</t>
  </si>
  <si>
    <t>1.5x IQR Upper Fence</t>
  </si>
  <si>
    <t>Outlier Observations Count</t>
  </si>
  <si>
    <t>Headline Mean Shift (Excl. Cairo)</t>
  </si>
  <si>
    <t>Count</t>
  </si>
  <si>
    <t>Median</t>
  </si>
  <si>
    <t>Std_Dev</t>
  </si>
  <si>
    <t>Question</t>
  </si>
  <si>
    <t>Response</t>
  </si>
  <si>
    <t>C2.1: Chosen Measure of Centre</t>
  </si>
  <si>
    <t>The Median is selected because the mean is heavily skewed by extreme long-distance outliers. The mean incorporates every high value, whereas the median remains robust and accurately reflects the typical student experience.</t>
  </si>
  <si>
    <t>C2.2: Decision Support Context</t>
  </si>
  <si>
    <t>The median better serves resource planning (e.g., student support, facility hours) as it represents the typical student. The mean would be appropriate if budgeting for total travel subsidies where aggregate time/cost matters.</t>
  </si>
  <si>
    <t>C2.3: Mode for Continuous &amp; Transport Data</t>
  </si>
  <si>
    <t>Mode is useless for continuous numeric values because exact floating-point matches are rare. Conversely, mode is the only option for transport because mode of transport is categorical non-numeric data.</t>
  </si>
  <si>
    <t>C3.1: SD vs. IQR Interpretation</t>
  </si>
  <si>
    <t>SD considers squared deviations from the mean and is highly sensitive to extreme commutes. IQR measures the spread of the central 50% of students, providing a robust view unaffected by outliers.</t>
  </si>
  <si>
    <t>C3.2: Relative Dispersion (CV)</t>
  </si>
  <si>
    <t>Commute time (CV = 87.4%) displays significantly higher relative dispersion than final scores (CV = 12.4%), showing commute times vary much more relative to their average.</t>
  </si>
  <si>
    <t>C3.3: Outlier Evaluation</t>
  </si>
  <si>
    <t>Found 15 outliers exceeding 115.3 minutes. Extreme values (e.g., &gt;200 mins) represent either data entry errors or inter-city travel; verification against student residency is recommended.</t>
  </si>
  <si>
    <t>C4.1: Branch Dragging Average Upward</t>
  </si>
  <si>
    <t>The Cairo branch has the highest mean commute, dragging the overall average up.</t>
  </si>
  <si>
    <t>C4.2: Policy Implication of Excluding Branch</t>
  </si>
  <si>
    <t>Excluding Cairo lowers the overall mean commute by 9.46 minutes, indicating regional disparities exist and a uniform single national policy is unsuitable.</t>
  </si>
  <si>
    <t>C4.3: Plain Language Interpretation of Low SD</t>
  </si>
  <si>
    <t>A low standard deviation means student commute times at that branch are tightly clustered around the average, leading to highly predictable travel schedules across that student body.</t>
  </si>
  <si>
    <t>#</t>
  </si>
  <si>
    <t>Column affected</t>
  </si>
  <si>
    <t>Problem observed</t>
  </si>
  <si>
    <t>Rows affected</t>
  </si>
  <si>
    <t>Action taken</t>
  </si>
  <si>
    <t>Rule / justification</t>
  </si>
  <si>
    <t xml:space="preserve">Duplicate primary key occurrences found across 22 rows </t>
  </si>
  <si>
    <t>Primary key missing; cannot identify observation.</t>
  </si>
  <si>
    <t>Primary key uniqueness rule (1 row = 1 student); retained first occurrence to prevent double counting</t>
  </si>
  <si>
    <t>branch, track, gender, has_laptop, transport</t>
  </si>
  <si>
    <t>Mixed uppercase/lowercase strings and typos (mansora, micro bus,etc.)</t>
  </si>
  <si>
    <t>Core policy variable; imputed values distort distribution.</t>
  </si>
  <si>
    <t>Enforces categorical consistency to ensure correct grouping during data aggregation.</t>
  </si>
  <si>
    <t>Non-standard responses present (none, -, no sport)</t>
  </si>
  <si>
    <t>Mapped invalid/unlisted sports values to "not specified"</t>
  </si>
  <si>
    <t>Differentiates explicit non-participation or missing input from defined sports categories.</t>
  </si>
  <si>
    <r>
      <t xml:space="preserve">Coerced to numeric and set out-of-bounds values outside [17, 45] to </t>
    </r>
    <r>
      <rPr>
        <sz val="10"/>
        <color theme="1"/>
        <rFont val="Arial"/>
        <family val="2"/>
        <scheme val="minor"/>
      </rPr>
      <t>NaN</t>
    </r>
  </si>
  <si>
    <t>Ages outside $17\text{--}45$ are physically impossible for an ITI intake; treated as data-entry errors.</t>
  </si>
  <si>
    <t>Negative or excessively high pet counts are input errors and violate domain bounds.</t>
  </si>
  <si>
    <t>Restricts evaluation metrics strictly to the predefined 1–5 scale to avoid skewing survey means</t>
  </si>
  <si>
    <t>Biologically impossible sleep durations (0.0, 25.0) present</t>
  </si>
  <si>
    <r>
      <t xml:space="preserve">Coerced to numeric and set values outside $[2, 14]$ to </t>
    </r>
    <r>
      <rPr>
        <sz val="10"/>
        <color theme="1"/>
        <rFont val="Arial"/>
        <family val="2"/>
        <scheme val="minor"/>
      </rPr>
      <t>NaN</t>
    </r>
  </si>
  <si>
    <t>Daily sleep hours outside $2\text{--}14$ hours reflect erroneous entries</t>
  </si>
  <si>
    <t>Standardizes raw text strings into pure numeric float types for statistical calculation</t>
  </si>
  <si>
    <t>Weekly study hours must fit physical time constraints ($0\text{--}80$ hours/week).</t>
  </si>
  <si>
    <r>
      <t xml:space="preserve">Replaced commas with decimal dots, converted to numeric, and set values outside $[0, 100]$ to </t>
    </r>
    <r>
      <rPr>
        <sz val="10"/>
        <color theme="1"/>
        <rFont val="Arial"/>
        <family val="2"/>
        <scheme val="minor"/>
      </rPr>
      <t>NaN</t>
    </r>
  </si>
  <si>
    <t>Corrects string syntax errors and limits exam performance scores strictly to the valid $[0, 100]\%$ range.</t>
  </si>
  <si>
    <t>Column</t>
  </si>
  <si>
    <t>Meaning</t>
  </si>
  <si>
    <t>Variable type</t>
  </si>
  <si>
    <t>Valid values / range</t>
  </si>
  <si>
    <t>Anonymous student code</t>
  </si>
  <si>
    <t>Qualitative — Nominal (identifier)</t>
  </si>
  <si>
    <t>ITI-1001 to ITI-1260, unique</t>
  </si>
  <si>
    <t>ITI branch the student attends</t>
  </si>
  <si>
    <t>Qualitative — Nominal</t>
  </si>
  <si>
    <t>Cairo, Alexandria, Mansoura, Assiut, Menoufia</t>
  </si>
  <si>
    <t>Training track enrolled in</t>
  </si>
  <si>
    <t>Data Science, Web Development, Cyber Security, Embedded Systems, UI/UX</t>
  </si>
  <si>
    <t>Self-reported gender</t>
  </si>
  <si>
    <t>Male, Female</t>
  </si>
  <si>
    <t>Age in completed years</t>
  </si>
  <si>
    <t>Quantitative — Discrete</t>
  </si>
  <si>
    <t>17 to 45</t>
  </si>
  <si>
    <t>Self-study hours per week outside class</t>
  </si>
  <si>
    <t>Quantitative — Continuous</t>
  </si>
  <si>
    <t>0 to 80</t>
  </si>
  <si>
    <t>One-way travel time to the branch</t>
  </si>
  <si>
    <t>0 to 300</t>
  </si>
  <si>
    <t>Average sleep per night</t>
  </si>
  <si>
    <t>2 to 14</t>
  </si>
  <si>
    <t>Projects submitted this term</t>
  </si>
  <si>
    <t>0 to 12</t>
  </si>
  <si>
    <t>Satisfaction with the track</t>
  </si>
  <si>
    <t>Qualitative — Ordinal</t>
  </si>
  <si>
    <t>1 = very low to 5 = very high</t>
  </si>
  <si>
    <t>Owns a personal laptop</t>
  </si>
  <si>
    <t>Qualitative — Nominal (binary)</t>
  </si>
  <si>
    <t>Yes, No</t>
  </si>
  <si>
    <t>Main mode of transport to the branch</t>
  </si>
  <si>
    <t>Bus, Metro, Car, Walk, Microbus</t>
  </si>
  <si>
    <t>Number of pets at home</t>
  </si>
  <si>
    <t>0 to 20</t>
  </si>
  <si>
    <t>Preferred sport</t>
  </si>
  <si>
    <t>Football, Swimming, Basketball, Running, Volleyball, None</t>
  </si>
  <si>
    <t>End-of-term assessment score</t>
  </si>
  <si>
    <t>0 to 100</t>
  </si>
  <si>
    <r>
      <t>Impossible negative (</t>
    </r>
    <r>
      <rPr>
        <sz val="10"/>
        <color theme="1"/>
        <rFont val="Arial"/>
        <family val="2"/>
        <scheme val="minor"/>
      </rPr>
      <t>-2</t>
    </r>
    <r>
      <rPr>
        <sz val="10"/>
        <color rgb="FF000000"/>
        <rFont val="Arial"/>
        <family val="2"/>
        <scheme val="minor"/>
      </rPr>
      <t>) and extreme (</t>
    </r>
    <r>
      <rPr>
        <sz val="10"/>
        <color theme="1"/>
        <rFont val="Arial"/>
        <family val="2"/>
        <scheme val="minor"/>
      </rPr>
      <t>60</t>
    </r>
    <r>
      <rPr>
        <sz val="10"/>
        <color rgb="FF000000"/>
        <rFont val="Arial"/>
        <family val="2"/>
        <scheme val="minor"/>
      </rPr>
      <t>) values present</t>
    </r>
  </si>
  <si>
    <r>
      <rPr>
        <sz val="10"/>
        <color rgb="FF000000"/>
        <rFont val="Arial"/>
        <family val="2"/>
        <scheme val="minor"/>
      </rPr>
      <t xml:space="preserve">Coerced to numeric and set values outside [0, 20] to </t>
    </r>
    <r>
      <rPr>
        <sz val="10"/>
        <color theme="1"/>
        <rFont val="Arial"/>
        <family val="2"/>
        <scheme val="minor"/>
      </rPr>
      <t>NaN</t>
    </r>
  </si>
  <si>
    <r>
      <t>Out-of-bounds ratings (</t>
    </r>
    <r>
      <rPr>
        <sz val="10"/>
        <color theme="1"/>
        <rFont val="Arial"/>
        <family val="2"/>
        <scheme val="minor"/>
      </rPr>
      <t>6</t>
    </r>
    <r>
      <rPr>
        <sz val="10"/>
        <color rgb="FF000000"/>
        <rFont val="Arial"/>
        <family val="2"/>
        <scheme val="minor"/>
      </rPr>
      <t xml:space="preserve">, </t>
    </r>
    <r>
      <rPr>
        <sz val="10"/>
        <color theme="1"/>
        <rFont val="Arial"/>
        <family val="2"/>
        <scheme val="minor"/>
      </rPr>
      <t>7</t>
    </r>
    <r>
      <rPr>
        <sz val="10"/>
        <color rgb="FF000000"/>
        <rFont val="Arial"/>
        <family val="2"/>
        <scheme val="minor"/>
      </rPr>
      <t xml:space="preserve">) and string value </t>
    </r>
    <r>
      <rPr>
        <sz val="10"/>
        <color theme="1"/>
        <rFont val="Arial"/>
        <family val="2"/>
        <scheme val="minor"/>
      </rPr>
      <t>'?'</t>
    </r>
    <r>
      <rPr>
        <sz val="10"/>
        <color rgb="FF000000"/>
        <rFont val="Arial"/>
        <family val="2"/>
        <scheme val="minor"/>
      </rPr>
      <t xml:space="preserve"> present</t>
    </r>
  </si>
  <si>
    <r>
      <t xml:space="preserve">Coerced to numeric and set values outside </t>
    </r>
    <r>
      <rPr>
        <sz val="10"/>
        <color rgb="FF000000"/>
        <rFont val="Arial"/>
        <family val="2"/>
        <scheme val="minor"/>
      </rPr>
      <t xml:space="preserve">$[1, 5]$ to </t>
    </r>
    <r>
      <rPr>
        <sz val="10"/>
        <color theme="1"/>
        <rFont val="Arial"/>
        <family val="2"/>
        <scheme val="minor"/>
      </rPr>
      <t>NaN</t>
    </r>
  </si>
  <si>
    <r>
      <t>Text formatting suffix (</t>
    </r>
    <r>
      <rPr>
        <sz val="10"/>
        <color theme="1"/>
        <rFont val="Arial"/>
        <family val="2"/>
        <scheme val="minor"/>
      </rPr>
      <t>' min'</t>
    </r>
    <r>
      <rPr>
        <sz val="10"/>
        <color rgb="FF000000"/>
        <rFont val="Arial"/>
        <family val="2"/>
        <scheme val="minor"/>
      </rPr>
      <t>) attached to numerical values</t>
    </r>
  </si>
  <si>
    <r>
      <t xml:space="preserve">Stripped </t>
    </r>
    <r>
      <rPr>
        <sz val="10"/>
        <color theme="1"/>
        <rFont val="Arial"/>
        <family val="2"/>
        <scheme val="minor"/>
      </rPr>
      <t>' min'</t>
    </r>
    <r>
      <rPr>
        <sz val="10"/>
        <color rgb="FF000000"/>
        <rFont val="Arial"/>
        <family val="2"/>
        <scheme val="minor"/>
      </rPr>
      <t xml:space="preserve"> string suffix and converted column to numeric</t>
    </r>
  </si>
  <si>
    <r>
      <t>Text suffix (</t>
    </r>
    <r>
      <rPr>
        <sz val="10"/>
        <color theme="1"/>
        <rFont val="Arial"/>
        <family val="2"/>
        <scheme val="minor"/>
      </rPr>
      <t>' hours'</t>
    </r>
    <r>
      <rPr>
        <sz val="10"/>
        <color rgb="FF000000"/>
        <rFont val="Arial"/>
        <family val="2"/>
        <scheme val="minor"/>
      </rPr>
      <t>), negative values (</t>
    </r>
    <r>
      <rPr>
        <sz val="10"/>
        <color theme="1"/>
        <rFont val="Arial"/>
        <family val="2"/>
        <scheme val="minor"/>
      </rPr>
      <t>-5</t>
    </r>
    <r>
      <rPr>
        <sz val="10"/>
        <color rgb="FF000000"/>
        <rFont val="Arial"/>
        <family val="2"/>
        <scheme val="minor"/>
      </rPr>
      <t>), extreme (</t>
    </r>
    <r>
      <rPr>
        <sz val="10"/>
        <color theme="1"/>
        <rFont val="Arial"/>
        <family val="2"/>
        <scheme val="minor"/>
      </rPr>
      <t>200</t>
    </r>
    <r>
      <rPr>
        <sz val="10"/>
        <color rgb="FF000000"/>
        <rFont val="Arial"/>
        <family val="2"/>
        <scheme val="minor"/>
      </rPr>
      <t xml:space="preserve">), and </t>
    </r>
    <r>
      <rPr>
        <sz val="10"/>
        <color theme="1"/>
        <rFont val="Arial"/>
        <family val="2"/>
        <scheme val="minor"/>
      </rPr>
      <t>'missing'</t>
    </r>
    <r>
      <rPr>
        <sz val="10"/>
        <color rgb="FF000000"/>
        <rFont val="Arial"/>
        <family val="2"/>
        <scheme val="minor"/>
      </rPr>
      <t xml:space="preserve"> present</t>
    </r>
  </si>
  <si>
    <r>
      <t xml:space="preserve">Stripped </t>
    </r>
    <r>
      <rPr>
        <sz val="10"/>
        <color theme="1"/>
        <rFont val="Arial"/>
        <family val="2"/>
        <scheme val="minor"/>
      </rPr>
      <t>' hours'</t>
    </r>
    <r>
      <rPr>
        <sz val="10"/>
        <color rgb="FF000000"/>
        <rFont val="Arial"/>
        <family val="2"/>
        <scheme val="minor"/>
      </rPr>
      <t xml:space="preserve"> suffix, converted to numeric, and set values outside $[0, 80]$ to </t>
    </r>
    <r>
      <rPr>
        <sz val="10"/>
        <color theme="1"/>
        <rFont val="Arial"/>
        <family val="2"/>
        <scheme val="minor"/>
      </rPr>
      <t>NaN</t>
    </r>
  </si>
  <si>
    <r>
      <t>European decimal commas (</t>
    </r>
    <r>
      <rPr>
        <sz val="10"/>
        <color theme="1"/>
        <rFont val="Arial"/>
        <family val="2"/>
        <scheme val="minor"/>
      </rPr>
      <t>','</t>
    </r>
    <r>
      <rPr>
        <sz val="10"/>
        <color rgb="FF000000"/>
        <rFont val="Arial"/>
        <family val="2"/>
        <scheme val="minor"/>
      </rPr>
      <t>) and out-of-bounds scores (</t>
    </r>
    <r>
      <rPr>
        <sz val="10"/>
        <color theme="1"/>
        <rFont val="Arial"/>
        <family val="2"/>
        <scheme val="minor"/>
      </rPr>
      <t>150</t>
    </r>
    <r>
      <rPr>
        <sz val="10"/>
        <color rgb="FF000000"/>
        <rFont val="Arial"/>
        <family val="2"/>
        <scheme val="minor"/>
      </rPr>
      <t xml:space="preserve">, </t>
    </r>
    <r>
      <rPr>
        <sz val="10"/>
        <color theme="1"/>
        <rFont val="Arial"/>
        <family val="2"/>
        <scheme val="minor"/>
      </rPr>
      <t>999</t>
    </r>
    <r>
      <rPr>
        <sz val="10"/>
        <color rgb="FF000000"/>
        <rFont val="Arial"/>
        <family val="2"/>
        <scheme val="minor"/>
      </rPr>
      <t>) present</t>
    </r>
  </si>
  <si>
    <t xml:space="preserve">Out-of-bounds numbers (-1, 5, 150) and string value 'unknown' present  </t>
  </si>
  <si>
    <t>Row Labels</t>
  </si>
  <si>
    <t>Grand Total</t>
  </si>
  <si>
    <t>Sum of commute_minutes</t>
  </si>
  <si>
    <t>Average of commute_minutes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</si>
</sst>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1"/>
      <color theme="1"/>
      <name val="Arial"/>
      <family val="2"/>
      <scheme val="minor"/>
    </font>
    <font>
      <b/>
      <sz val="11"/>
      <color rgb="FF000000"/>
      <name val="Calibri"/>
      <family val="2"/>
    </font>
    <font>
      <sz val="11"/>
      <color rgb="FF000000"/>
      <name val="Calibri"/>
      <family val="2"/>
    </font>
    <font>
      <sz val="10"/>
      <color theme="1"/>
      <name val="Arial"/>
      <family val="2"/>
      <scheme val="minor"/>
    </font>
    <font>
      <b/>
      <sz val="10"/>
      <color theme="1"/>
      <name val="Arial"/>
      <family val="2"/>
      <scheme val="minor"/>
    </font>
    <font>
      <b/>
      <sz val="11"/>
      <name val="Calibri"/>
      <family val="2"/>
    </font>
    <font>
      <b/>
      <sz val="10"/>
      <color rgb="FFFFFFFF"/>
      <name val="Arial"/>
      <family val="2"/>
      <scheme val="minor"/>
    </font>
    <font>
      <sz val="10"/>
      <color rgb="FF000000"/>
      <name val="Arial"/>
      <family val="2"/>
      <scheme val="minor"/>
    </font>
    <font>
      <sz val="10"/>
      <color rgb="FF000000"/>
      <name val="Calibri"/>
      <family val="2"/>
    </font>
    <font>
      <b/>
      <sz val="11"/>
      <color rgb="FFFFFFFF"/>
      <name val="Calibri"/>
      <family val="2"/>
    </font>
    <font>
      <sz val="11"/>
      <color theme="1"/>
      <name val="Calibri"/>
      <family val="2"/>
    </font>
  </fonts>
  <fills count="3">
    <fill>
      <patternFill patternType="none"/>
    </fill>
    <fill>
      <patternFill patternType="gray125"/>
    </fill>
    <fill>
      <patternFill patternType="solid">
        <fgColor rgb="FF1F3864"/>
        <bgColor rgb="FF1F38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19">
    <xf numFmtId="0" fontId="0" fillId="0" borderId="0" xfId="0"/>
    <xf numFmtId="0" fontId="2" fillId="0" borderId="1" xfId="0" applyFont="1" applyBorder="1" applyAlignment="1">
      <alignment horizontal="center" vertical="top"/>
    </xf>
    <xf numFmtId="0" fontId="3" fillId="0" borderId="0" xfId="0" applyFont="1"/>
    <xf numFmtId="0" fontId="3" fillId="0" borderId="0" xfId="0" applyFont="1" applyAlignment="1">
      <alignment horizontal="right"/>
    </xf>
    <xf numFmtId="0" fontId="4" fillId="0" borderId="0" xfId="0" applyFont="1"/>
    <xf numFmtId="0" fontId="5" fillId="0" borderId="0" xfId="0" applyFont="1"/>
    <xf numFmtId="0" fontId="7" fillId="2" borderId="0" xfId="0" applyFont="1" applyFill="1"/>
    <xf numFmtId="0" fontId="1" fillId="0" borderId="0" xfId="1"/>
    <xf numFmtId="0" fontId="6" fillId="0" borderId="2" xfId="1" applyFont="1" applyBorder="1" applyAlignment="1">
      <alignment horizontal="center" vertical="top"/>
    </xf>
    <xf numFmtId="0" fontId="0" fillId="0" borderId="0" xfId="0" applyAlignment="1">
      <alignment vertical="center"/>
    </xf>
    <xf numFmtId="0" fontId="9" fillId="0" borderId="0" xfId="0" applyFont="1"/>
    <xf numFmtId="0" fontId="10" fillId="2" borderId="0" xfId="0" applyFont="1" applyFill="1"/>
    <xf numFmtId="0" fontId="11" fillId="0" borderId="3" xfId="0" applyFont="1" applyBorder="1" applyAlignment="1">
      <alignment vertical="top" wrapText="1"/>
    </xf>
    <xf numFmtId="0" fontId="8" fillId="0" borderId="0" xfId="0" applyFont="1"/>
    <xf numFmtId="0" fontId="0" fillId="0" borderId="0" xfId="0" pivotButton="1"/>
    <xf numFmtId="0" fontId="0" fillId="0" borderId="0" xfId="0" applyAlignment="1">
      <alignment horizontal="left"/>
    </xf>
    <xf numFmtId="0" fontId="4" fillId="0" borderId="0" xfId="0" applyFont="1" applyAlignment="1">
      <alignment horizontal="center"/>
    </xf>
    <xf numFmtId="0" fontId="0" fillId="0" borderId="0" xfId="0"/>
    <xf numFmtId="0" fontId="0" fillId="0" borderId="0" xfId="0" applyNumberFormat="1"/>
  </cellXfs>
  <cellStyles count="2">
    <cellStyle name="Normal" xfId="0" builtinId="0"/>
    <cellStyle name="Normal 2" xfId="1" xr:uid="{FC8CA768-BF2C-4545-B544-A9A3B07A0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final_score vs. commute_minutes</a:t>
            </a:r>
          </a:p>
        </c:rich>
      </c:tx>
      <c:overlay val="0"/>
    </c:title>
    <c:autoTitleDeleted val="0"/>
    <c:plotArea>
      <c:layout/>
      <c:scatterChart>
        <c:scatterStyle val="lineMarker"/>
        <c:varyColors val="0"/>
        <c:ser>
          <c:idx val="0"/>
          <c:order val="0"/>
          <c:tx>
            <c:strRef>
              <c:f>'Part B_cleaned sheet'!$O$1</c:f>
              <c:strCache>
                <c:ptCount val="1"/>
                <c:pt idx="0">
                  <c:v>final_score</c:v>
                </c:pt>
              </c:strCache>
            </c:strRef>
          </c:tx>
          <c:spPr>
            <a:ln>
              <a:noFill/>
            </a:ln>
          </c:spPr>
          <c:marker>
            <c:symbol val="circle"/>
            <c:size val="7"/>
            <c:spPr>
              <a:solidFill>
                <a:schemeClr val="accent1"/>
              </a:solidFill>
              <a:ln cmpd="sng">
                <a:solidFill>
                  <a:schemeClr val="accent1"/>
                </a:solidFill>
              </a:ln>
            </c:spPr>
          </c:marker>
          <c:xVal>
            <c:numRef>
              <c:f>'Part B_cleaned sheet'!$G$2:$G$1000</c:f>
              <c:numCache>
                <c:formatCode>General</c:formatCode>
                <c:ptCount val="999"/>
                <c:pt idx="0">
                  <c:v>36.9</c:v>
                </c:pt>
                <c:pt idx="1">
                  <c:v>31.9</c:v>
                </c:pt>
                <c:pt idx="2">
                  <c:v>51.7</c:v>
                </c:pt>
                <c:pt idx="3">
                  <c:v>23.3</c:v>
                </c:pt>
                <c:pt idx="4">
                  <c:v>69.400000000000006</c:v>
                </c:pt>
                <c:pt idx="5">
                  <c:v>50.1</c:v>
                </c:pt>
                <c:pt idx="6">
                  <c:v>20.2</c:v>
                </c:pt>
                <c:pt idx="7">
                  <c:v>52.2</c:v>
                </c:pt>
                <c:pt idx="8">
                  <c:v>34.799999999999997</c:v>
                </c:pt>
                <c:pt idx="9">
                  <c:v>26</c:v>
                </c:pt>
                <c:pt idx="10">
                  <c:v>15.8</c:v>
                </c:pt>
                <c:pt idx="11">
                  <c:v>10.9</c:v>
                </c:pt>
                <c:pt idx="12">
                  <c:v>25.9</c:v>
                </c:pt>
                <c:pt idx="13">
                  <c:v>105.8</c:v>
                </c:pt>
                <c:pt idx="14">
                  <c:v>87.6</c:v>
                </c:pt>
                <c:pt idx="15">
                  <c:v>12.1</c:v>
                </c:pt>
                <c:pt idx="16">
                  <c:v>14.7</c:v>
                </c:pt>
                <c:pt idx="17">
                  <c:v>10.8</c:v>
                </c:pt>
                <c:pt idx="18">
                  <c:v>22.4</c:v>
                </c:pt>
                <c:pt idx="19">
                  <c:v>36.5</c:v>
                </c:pt>
                <c:pt idx="20">
                  <c:v>9</c:v>
                </c:pt>
                <c:pt idx="21">
                  <c:v>32.9</c:v>
                </c:pt>
                <c:pt idx="22">
                  <c:v>25.2</c:v>
                </c:pt>
                <c:pt idx="23">
                  <c:v>89.5</c:v>
                </c:pt>
                <c:pt idx="24">
                  <c:v>59.6</c:v>
                </c:pt>
                <c:pt idx="25">
                  <c:v>39.200000000000003</c:v>
                </c:pt>
                <c:pt idx="26">
                  <c:v>54.8</c:v>
                </c:pt>
                <c:pt idx="27">
                  <c:v>133.69999999999999</c:v>
                </c:pt>
                <c:pt idx="28">
                  <c:v>46.4</c:v>
                </c:pt>
                <c:pt idx="29">
                  <c:v>110.8</c:v>
                </c:pt>
                <c:pt idx="30">
                  <c:v>8.4</c:v>
                </c:pt>
                <c:pt idx="31">
                  <c:v>29.4</c:v>
                </c:pt>
                <c:pt idx="32">
                  <c:v>43.8</c:v>
                </c:pt>
                <c:pt idx="33">
                  <c:v>9.6999999999999993</c:v>
                </c:pt>
                <c:pt idx="34">
                  <c:v>16.100000000000001</c:v>
                </c:pt>
                <c:pt idx="36">
                  <c:v>43</c:v>
                </c:pt>
                <c:pt idx="37">
                  <c:v>30.2</c:v>
                </c:pt>
                <c:pt idx="38">
                  <c:v>34.1</c:v>
                </c:pt>
                <c:pt idx="39">
                  <c:v>62.9</c:v>
                </c:pt>
                <c:pt idx="40">
                  <c:v>66.599999999999994</c:v>
                </c:pt>
                <c:pt idx="41">
                  <c:v>30.1</c:v>
                </c:pt>
                <c:pt idx="42">
                  <c:v>66.400000000000006</c:v>
                </c:pt>
                <c:pt idx="43">
                  <c:v>11.8</c:v>
                </c:pt>
                <c:pt idx="44">
                  <c:v>26.1</c:v>
                </c:pt>
                <c:pt idx="45">
                  <c:v>71.599999999999994</c:v>
                </c:pt>
                <c:pt idx="46">
                  <c:v>27.9</c:v>
                </c:pt>
                <c:pt idx="47">
                  <c:v>43.3</c:v>
                </c:pt>
                <c:pt idx="48">
                  <c:v>35</c:v>
                </c:pt>
                <c:pt idx="49">
                  <c:v>22.8</c:v>
                </c:pt>
                <c:pt idx="50">
                  <c:v>111.7</c:v>
                </c:pt>
                <c:pt idx="51">
                  <c:v>21.1</c:v>
                </c:pt>
                <c:pt idx="52">
                  <c:v>36.4</c:v>
                </c:pt>
                <c:pt idx="53">
                  <c:v>17.100000000000001</c:v>
                </c:pt>
                <c:pt idx="54">
                  <c:v>33</c:v>
                </c:pt>
                <c:pt idx="55">
                  <c:v>142.30000000000001</c:v>
                </c:pt>
                <c:pt idx="56">
                  <c:v>16.100000000000001</c:v>
                </c:pt>
                <c:pt idx="57">
                  <c:v>63.8</c:v>
                </c:pt>
                <c:pt idx="58">
                  <c:v>68.2</c:v>
                </c:pt>
                <c:pt idx="59">
                  <c:v>25.1</c:v>
                </c:pt>
                <c:pt idx="61">
                  <c:v>16.8</c:v>
                </c:pt>
                <c:pt idx="62">
                  <c:v>37.9</c:v>
                </c:pt>
                <c:pt idx="63">
                  <c:v>33.200000000000003</c:v>
                </c:pt>
                <c:pt idx="64">
                  <c:v>24</c:v>
                </c:pt>
                <c:pt idx="65">
                  <c:v>13.2</c:v>
                </c:pt>
                <c:pt idx="66">
                  <c:v>17.600000000000001</c:v>
                </c:pt>
                <c:pt idx="67">
                  <c:v>5</c:v>
                </c:pt>
                <c:pt idx="68">
                  <c:v>190.2</c:v>
                </c:pt>
                <c:pt idx="69">
                  <c:v>105.1</c:v>
                </c:pt>
                <c:pt idx="70">
                  <c:v>25.9</c:v>
                </c:pt>
                <c:pt idx="71">
                  <c:v>55.7</c:v>
                </c:pt>
                <c:pt idx="72">
                  <c:v>59.3</c:v>
                </c:pt>
                <c:pt idx="73">
                  <c:v>44.1</c:v>
                </c:pt>
                <c:pt idx="74">
                  <c:v>83</c:v>
                </c:pt>
                <c:pt idx="75">
                  <c:v>32.6</c:v>
                </c:pt>
                <c:pt idx="76">
                  <c:v>209.8</c:v>
                </c:pt>
                <c:pt idx="77">
                  <c:v>34.1</c:v>
                </c:pt>
                <c:pt idx="78">
                  <c:v>58.4</c:v>
                </c:pt>
                <c:pt idx="79">
                  <c:v>12.8</c:v>
                </c:pt>
                <c:pt idx="80">
                  <c:v>45.4</c:v>
                </c:pt>
                <c:pt idx="81">
                  <c:v>17</c:v>
                </c:pt>
                <c:pt idx="82">
                  <c:v>62.4</c:v>
                </c:pt>
                <c:pt idx="83">
                  <c:v>78</c:v>
                </c:pt>
                <c:pt idx="84">
                  <c:v>21.1</c:v>
                </c:pt>
                <c:pt idx="85">
                  <c:v>73.2</c:v>
                </c:pt>
                <c:pt idx="86">
                  <c:v>17.5</c:v>
                </c:pt>
                <c:pt idx="87">
                  <c:v>8.4</c:v>
                </c:pt>
                <c:pt idx="88">
                  <c:v>39.200000000000003</c:v>
                </c:pt>
                <c:pt idx="89">
                  <c:v>23.7</c:v>
                </c:pt>
                <c:pt idx="90">
                  <c:v>31.4</c:v>
                </c:pt>
                <c:pt idx="91">
                  <c:v>200</c:v>
                </c:pt>
                <c:pt idx="92">
                  <c:v>29.1</c:v>
                </c:pt>
                <c:pt idx="93">
                  <c:v>70</c:v>
                </c:pt>
                <c:pt idx="94">
                  <c:v>25.9</c:v>
                </c:pt>
                <c:pt idx="95">
                  <c:v>28.4</c:v>
                </c:pt>
                <c:pt idx="96">
                  <c:v>14.7</c:v>
                </c:pt>
                <c:pt idx="98">
                  <c:v>27.9</c:v>
                </c:pt>
                <c:pt idx="99">
                  <c:v>11.1</c:v>
                </c:pt>
                <c:pt idx="100">
                  <c:v>29.3</c:v>
                </c:pt>
                <c:pt idx="101">
                  <c:v>67</c:v>
                </c:pt>
                <c:pt idx="102">
                  <c:v>53.8</c:v>
                </c:pt>
                <c:pt idx="103">
                  <c:v>29.6</c:v>
                </c:pt>
                <c:pt idx="104">
                  <c:v>17.8</c:v>
                </c:pt>
                <c:pt idx="105">
                  <c:v>256.5</c:v>
                </c:pt>
                <c:pt idx="106">
                  <c:v>25.1</c:v>
                </c:pt>
                <c:pt idx="107">
                  <c:v>64.099999999999994</c:v>
                </c:pt>
                <c:pt idx="108">
                  <c:v>121.4</c:v>
                </c:pt>
                <c:pt idx="109">
                  <c:v>22.4</c:v>
                </c:pt>
                <c:pt idx="110">
                  <c:v>46.4</c:v>
                </c:pt>
                <c:pt idx="111">
                  <c:v>29.8</c:v>
                </c:pt>
                <c:pt idx="112">
                  <c:v>25</c:v>
                </c:pt>
                <c:pt idx="113">
                  <c:v>43.9</c:v>
                </c:pt>
                <c:pt idx="114">
                  <c:v>31</c:v>
                </c:pt>
                <c:pt idx="115">
                  <c:v>18.8</c:v>
                </c:pt>
                <c:pt idx="116">
                  <c:v>50</c:v>
                </c:pt>
                <c:pt idx="117">
                  <c:v>120.2</c:v>
                </c:pt>
                <c:pt idx="118">
                  <c:v>16.2</c:v>
                </c:pt>
                <c:pt idx="119">
                  <c:v>25.6</c:v>
                </c:pt>
                <c:pt idx="120">
                  <c:v>15.6</c:v>
                </c:pt>
                <c:pt idx="121">
                  <c:v>5</c:v>
                </c:pt>
                <c:pt idx="122">
                  <c:v>13.1</c:v>
                </c:pt>
                <c:pt idx="123">
                  <c:v>18.5</c:v>
                </c:pt>
                <c:pt idx="124">
                  <c:v>11.6</c:v>
                </c:pt>
                <c:pt idx="125">
                  <c:v>25.5</c:v>
                </c:pt>
                <c:pt idx="126">
                  <c:v>9.8000000000000007</c:v>
                </c:pt>
                <c:pt idx="127">
                  <c:v>9.8000000000000007</c:v>
                </c:pt>
                <c:pt idx="128">
                  <c:v>15.6</c:v>
                </c:pt>
                <c:pt idx="129">
                  <c:v>74.900000000000006</c:v>
                </c:pt>
                <c:pt idx="130">
                  <c:v>23.1</c:v>
                </c:pt>
                <c:pt idx="131">
                  <c:v>13.7</c:v>
                </c:pt>
                <c:pt idx="132">
                  <c:v>21</c:v>
                </c:pt>
                <c:pt idx="133">
                  <c:v>17.399999999999999</c:v>
                </c:pt>
                <c:pt idx="134">
                  <c:v>89.2</c:v>
                </c:pt>
                <c:pt idx="135">
                  <c:v>191.9</c:v>
                </c:pt>
                <c:pt idx="136">
                  <c:v>39.5</c:v>
                </c:pt>
                <c:pt idx="137">
                  <c:v>15</c:v>
                </c:pt>
                <c:pt idx="138">
                  <c:v>30.2</c:v>
                </c:pt>
                <c:pt idx="139">
                  <c:v>24.1</c:v>
                </c:pt>
                <c:pt idx="140">
                  <c:v>5.4</c:v>
                </c:pt>
                <c:pt idx="141">
                  <c:v>29.6</c:v>
                </c:pt>
                <c:pt idx="142">
                  <c:v>23</c:v>
                </c:pt>
                <c:pt idx="143">
                  <c:v>28.5</c:v>
                </c:pt>
                <c:pt idx="144">
                  <c:v>34.299999999999997</c:v>
                </c:pt>
                <c:pt idx="145">
                  <c:v>30.4</c:v>
                </c:pt>
                <c:pt idx="146">
                  <c:v>39.9</c:v>
                </c:pt>
                <c:pt idx="148">
                  <c:v>52.6</c:v>
                </c:pt>
                <c:pt idx="149">
                  <c:v>70.599999999999994</c:v>
                </c:pt>
                <c:pt idx="150">
                  <c:v>44.3</c:v>
                </c:pt>
                <c:pt idx="151">
                  <c:v>176</c:v>
                </c:pt>
                <c:pt idx="152">
                  <c:v>44.5</c:v>
                </c:pt>
                <c:pt idx="153">
                  <c:v>19.399999999999999</c:v>
                </c:pt>
                <c:pt idx="154">
                  <c:v>154</c:v>
                </c:pt>
                <c:pt idx="155">
                  <c:v>95.1</c:v>
                </c:pt>
                <c:pt idx="156">
                  <c:v>37.200000000000003</c:v>
                </c:pt>
                <c:pt idx="157">
                  <c:v>11</c:v>
                </c:pt>
                <c:pt idx="158">
                  <c:v>43.8</c:v>
                </c:pt>
                <c:pt idx="159">
                  <c:v>61.7</c:v>
                </c:pt>
                <c:pt idx="160">
                  <c:v>53.6</c:v>
                </c:pt>
                <c:pt idx="161">
                  <c:v>21.8</c:v>
                </c:pt>
                <c:pt idx="162">
                  <c:v>43.1</c:v>
                </c:pt>
                <c:pt idx="163">
                  <c:v>33.1</c:v>
                </c:pt>
                <c:pt idx="164">
                  <c:v>19.7</c:v>
                </c:pt>
                <c:pt idx="165">
                  <c:v>18.7</c:v>
                </c:pt>
                <c:pt idx="166">
                  <c:v>104.5</c:v>
                </c:pt>
                <c:pt idx="167">
                  <c:v>15.2</c:v>
                </c:pt>
                <c:pt idx="168">
                  <c:v>63.8</c:v>
                </c:pt>
                <c:pt idx="169">
                  <c:v>21.3</c:v>
                </c:pt>
                <c:pt idx="170">
                  <c:v>62</c:v>
                </c:pt>
                <c:pt idx="171">
                  <c:v>26.6</c:v>
                </c:pt>
                <c:pt idx="172">
                  <c:v>44.8</c:v>
                </c:pt>
                <c:pt idx="173">
                  <c:v>79.7</c:v>
                </c:pt>
                <c:pt idx="174">
                  <c:v>46</c:v>
                </c:pt>
                <c:pt idx="175">
                  <c:v>132</c:v>
                </c:pt>
                <c:pt idx="176">
                  <c:v>18</c:v>
                </c:pt>
                <c:pt idx="177">
                  <c:v>42.6</c:v>
                </c:pt>
                <c:pt idx="178">
                  <c:v>34.299999999999997</c:v>
                </c:pt>
                <c:pt idx="179">
                  <c:v>18.100000000000001</c:v>
                </c:pt>
                <c:pt idx="180">
                  <c:v>74.400000000000006</c:v>
                </c:pt>
                <c:pt idx="181">
                  <c:v>19.5</c:v>
                </c:pt>
                <c:pt idx="182">
                  <c:v>29.5</c:v>
                </c:pt>
                <c:pt idx="183">
                  <c:v>11.8</c:v>
                </c:pt>
                <c:pt idx="184">
                  <c:v>68.8</c:v>
                </c:pt>
                <c:pt idx="185">
                  <c:v>32.6</c:v>
                </c:pt>
                <c:pt idx="186">
                  <c:v>58.2</c:v>
                </c:pt>
                <c:pt idx="187">
                  <c:v>29.5</c:v>
                </c:pt>
                <c:pt idx="188">
                  <c:v>66.400000000000006</c:v>
                </c:pt>
                <c:pt idx="189">
                  <c:v>26.1</c:v>
                </c:pt>
                <c:pt idx="190">
                  <c:v>38.1</c:v>
                </c:pt>
                <c:pt idx="192">
                  <c:v>6.3</c:v>
                </c:pt>
                <c:pt idx="193">
                  <c:v>37.200000000000003</c:v>
                </c:pt>
                <c:pt idx="195">
                  <c:v>66.8</c:v>
                </c:pt>
                <c:pt idx="196">
                  <c:v>63.3</c:v>
                </c:pt>
                <c:pt idx="197">
                  <c:v>13.6</c:v>
                </c:pt>
                <c:pt idx="198">
                  <c:v>16.100000000000001</c:v>
                </c:pt>
                <c:pt idx="199">
                  <c:v>17.2</c:v>
                </c:pt>
                <c:pt idx="200">
                  <c:v>13.7</c:v>
                </c:pt>
                <c:pt idx="201">
                  <c:v>238.9</c:v>
                </c:pt>
                <c:pt idx="202">
                  <c:v>35.200000000000003</c:v>
                </c:pt>
                <c:pt idx="203">
                  <c:v>16.600000000000001</c:v>
                </c:pt>
                <c:pt idx="204">
                  <c:v>27.7</c:v>
                </c:pt>
                <c:pt idx="205">
                  <c:v>48</c:v>
                </c:pt>
                <c:pt idx="206">
                  <c:v>50.4</c:v>
                </c:pt>
                <c:pt idx="207">
                  <c:v>20.9</c:v>
                </c:pt>
                <c:pt idx="208">
                  <c:v>33</c:v>
                </c:pt>
                <c:pt idx="209">
                  <c:v>27</c:v>
                </c:pt>
                <c:pt idx="210">
                  <c:v>7.2</c:v>
                </c:pt>
                <c:pt idx="211">
                  <c:v>66.599999999999994</c:v>
                </c:pt>
                <c:pt idx="212">
                  <c:v>56.1</c:v>
                </c:pt>
                <c:pt idx="213">
                  <c:v>10.1</c:v>
                </c:pt>
                <c:pt idx="214">
                  <c:v>60.3</c:v>
                </c:pt>
                <c:pt idx="215">
                  <c:v>11.1</c:v>
                </c:pt>
                <c:pt idx="216">
                  <c:v>13.4</c:v>
                </c:pt>
                <c:pt idx="217">
                  <c:v>58</c:v>
                </c:pt>
                <c:pt idx="218">
                  <c:v>70.900000000000006</c:v>
                </c:pt>
                <c:pt idx="219">
                  <c:v>116.1</c:v>
                </c:pt>
                <c:pt idx="220">
                  <c:v>67.7</c:v>
                </c:pt>
                <c:pt idx="221">
                  <c:v>92</c:v>
                </c:pt>
                <c:pt idx="222">
                  <c:v>36.6</c:v>
                </c:pt>
                <c:pt idx="223">
                  <c:v>44.8</c:v>
                </c:pt>
                <c:pt idx="224">
                  <c:v>30.3</c:v>
                </c:pt>
                <c:pt idx="225">
                  <c:v>54.1</c:v>
                </c:pt>
                <c:pt idx="226">
                  <c:v>9.4</c:v>
                </c:pt>
                <c:pt idx="227">
                  <c:v>12.2</c:v>
                </c:pt>
                <c:pt idx="228">
                  <c:v>27.2</c:v>
                </c:pt>
                <c:pt idx="229">
                  <c:v>59.1</c:v>
                </c:pt>
                <c:pt idx="230">
                  <c:v>15.7</c:v>
                </c:pt>
                <c:pt idx="231">
                  <c:v>62.8</c:v>
                </c:pt>
                <c:pt idx="232">
                  <c:v>55.7</c:v>
                </c:pt>
                <c:pt idx="233">
                  <c:v>126.7</c:v>
                </c:pt>
                <c:pt idx="234">
                  <c:v>26.2</c:v>
                </c:pt>
                <c:pt idx="235">
                  <c:v>39.299999999999997</c:v>
                </c:pt>
                <c:pt idx="236">
                  <c:v>38.9</c:v>
                </c:pt>
                <c:pt idx="237">
                  <c:v>6.2</c:v>
                </c:pt>
                <c:pt idx="238">
                  <c:v>57.8</c:v>
                </c:pt>
                <c:pt idx="239">
                  <c:v>65.5</c:v>
                </c:pt>
                <c:pt idx="240">
                  <c:v>23.1</c:v>
                </c:pt>
                <c:pt idx="241">
                  <c:v>37.6</c:v>
                </c:pt>
                <c:pt idx="242">
                  <c:v>37.200000000000003</c:v>
                </c:pt>
                <c:pt idx="243">
                  <c:v>31.3</c:v>
                </c:pt>
                <c:pt idx="244">
                  <c:v>97.9</c:v>
                </c:pt>
                <c:pt idx="245">
                  <c:v>26.4</c:v>
                </c:pt>
                <c:pt idx="246">
                  <c:v>48</c:v>
                </c:pt>
                <c:pt idx="247">
                  <c:v>64.099999999999994</c:v>
                </c:pt>
                <c:pt idx="248">
                  <c:v>15</c:v>
                </c:pt>
                <c:pt idx="249">
                  <c:v>13.1</c:v>
                </c:pt>
                <c:pt idx="250">
                  <c:v>16.399999999999999</c:v>
                </c:pt>
                <c:pt idx="251">
                  <c:v>30.7</c:v>
                </c:pt>
                <c:pt idx="252">
                  <c:v>87.2</c:v>
                </c:pt>
                <c:pt idx="253">
                  <c:v>27.2</c:v>
                </c:pt>
                <c:pt idx="254">
                  <c:v>41.4</c:v>
                </c:pt>
                <c:pt idx="255">
                  <c:v>79.3</c:v>
                </c:pt>
                <c:pt idx="256">
                  <c:v>26.9</c:v>
                </c:pt>
                <c:pt idx="257">
                  <c:v>39.299999999999997</c:v>
                </c:pt>
                <c:pt idx="258">
                  <c:v>36.299999999999997</c:v>
                </c:pt>
                <c:pt idx="259">
                  <c:v>46.8</c:v>
                </c:pt>
              </c:numCache>
            </c:numRef>
          </c:xVal>
          <c:yVal>
            <c:numRef>
              <c:f>'Part B_cleaned sheet'!$O$2:$O$1000</c:f>
              <c:numCache>
                <c:formatCode>General</c:formatCode>
                <c:ptCount val="999"/>
                <c:pt idx="0">
                  <c:v>86.4</c:v>
                </c:pt>
                <c:pt idx="1">
                  <c:v>90.3</c:v>
                </c:pt>
                <c:pt idx="2">
                  <c:v>72.599999999999994</c:v>
                </c:pt>
                <c:pt idx="3">
                  <c:v>76.7</c:v>
                </c:pt>
                <c:pt idx="4">
                  <c:v>82.1</c:v>
                </c:pt>
                <c:pt idx="5">
                  <c:v>80.2</c:v>
                </c:pt>
                <c:pt idx="6">
                  <c:v>72.400000000000006</c:v>
                </c:pt>
                <c:pt idx="7">
                  <c:v>74</c:v>
                </c:pt>
                <c:pt idx="8">
                  <c:v>83.7</c:v>
                </c:pt>
                <c:pt idx="9">
                  <c:v>58.5</c:v>
                </c:pt>
                <c:pt idx="10">
                  <c:v>75.8</c:v>
                </c:pt>
                <c:pt idx="11">
                  <c:v>79.7</c:v>
                </c:pt>
                <c:pt idx="12">
                  <c:v>93.5</c:v>
                </c:pt>
                <c:pt idx="13">
                  <c:v>78.5</c:v>
                </c:pt>
                <c:pt idx="14">
                  <c:v>69.7</c:v>
                </c:pt>
                <c:pt idx="15">
                  <c:v>69.599999999999994</c:v>
                </c:pt>
                <c:pt idx="16">
                  <c:v>87.5</c:v>
                </c:pt>
                <c:pt idx="17">
                  <c:v>80.3</c:v>
                </c:pt>
                <c:pt idx="18">
                  <c:v>78.099999999999994</c:v>
                </c:pt>
                <c:pt idx="19">
                  <c:v>92.3</c:v>
                </c:pt>
                <c:pt idx="20">
                  <c:v>67.3</c:v>
                </c:pt>
                <c:pt idx="21">
                  <c:v>69.3</c:v>
                </c:pt>
                <c:pt idx="22">
                  <c:v>53.3</c:v>
                </c:pt>
                <c:pt idx="23">
                  <c:v>67.599999999999994</c:v>
                </c:pt>
                <c:pt idx="24">
                  <c:v>85.9</c:v>
                </c:pt>
                <c:pt idx="25">
                  <c:v>86.1</c:v>
                </c:pt>
                <c:pt idx="26">
                  <c:v>77.900000000000006</c:v>
                </c:pt>
                <c:pt idx="27">
                  <c:v>68.099999999999994</c:v>
                </c:pt>
                <c:pt idx="28">
                  <c:v>89.4</c:v>
                </c:pt>
                <c:pt idx="29">
                  <c:v>70.7</c:v>
                </c:pt>
                <c:pt idx="30">
                  <c:v>91.7</c:v>
                </c:pt>
                <c:pt idx="31">
                  <c:v>83.9</c:v>
                </c:pt>
                <c:pt idx="32">
                  <c:v>77.2</c:v>
                </c:pt>
                <c:pt idx="33">
                  <c:v>64.2</c:v>
                </c:pt>
                <c:pt idx="34">
                  <c:v>72.900000000000006</c:v>
                </c:pt>
                <c:pt idx="35">
                  <c:v>95.6</c:v>
                </c:pt>
                <c:pt idx="36">
                  <c:v>68.2</c:v>
                </c:pt>
                <c:pt idx="37">
                  <c:v>72.900000000000006</c:v>
                </c:pt>
                <c:pt idx="38">
                  <c:v>79.3</c:v>
                </c:pt>
                <c:pt idx="39">
                  <c:v>84.6</c:v>
                </c:pt>
                <c:pt idx="40">
                  <c:v>77</c:v>
                </c:pt>
                <c:pt idx="41">
                  <c:v>80.400000000000006</c:v>
                </c:pt>
                <c:pt idx="42">
                  <c:v>99.8</c:v>
                </c:pt>
                <c:pt idx="43">
                  <c:v>83.6</c:v>
                </c:pt>
                <c:pt idx="44">
                  <c:v>87.7</c:v>
                </c:pt>
                <c:pt idx="45">
                  <c:v>74.3</c:v>
                </c:pt>
                <c:pt idx="46">
                  <c:v>75.3</c:v>
                </c:pt>
                <c:pt idx="47">
                  <c:v>79.3</c:v>
                </c:pt>
                <c:pt idx="48">
                  <c:v>69.2</c:v>
                </c:pt>
                <c:pt idx="49">
                  <c:v>87.7</c:v>
                </c:pt>
                <c:pt idx="50">
                  <c:v>69.400000000000006</c:v>
                </c:pt>
                <c:pt idx="51">
                  <c:v>88.2</c:v>
                </c:pt>
                <c:pt idx="52">
                  <c:v>88.2</c:v>
                </c:pt>
                <c:pt idx="53">
                  <c:v>66.900000000000006</c:v>
                </c:pt>
                <c:pt idx="54">
                  <c:v>100</c:v>
                </c:pt>
                <c:pt idx="55">
                  <c:v>85.3</c:v>
                </c:pt>
                <c:pt idx="56">
                  <c:v>84.1</c:v>
                </c:pt>
                <c:pt idx="57">
                  <c:v>73.3</c:v>
                </c:pt>
                <c:pt idx="58">
                  <c:v>75.2</c:v>
                </c:pt>
                <c:pt idx="59">
                  <c:v>83.1</c:v>
                </c:pt>
                <c:pt idx="60">
                  <c:v>100</c:v>
                </c:pt>
                <c:pt idx="61">
                  <c:v>73.3</c:v>
                </c:pt>
                <c:pt idx="62">
                  <c:v>90.5</c:v>
                </c:pt>
                <c:pt idx="63">
                  <c:v>61.5</c:v>
                </c:pt>
                <c:pt idx="64">
                  <c:v>84.9</c:v>
                </c:pt>
                <c:pt idx="65">
                  <c:v>92.3</c:v>
                </c:pt>
                <c:pt idx="66">
                  <c:v>94.9</c:v>
                </c:pt>
                <c:pt idx="67">
                  <c:v>91.6</c:v>
                </c:pt>
                <c:pt idx="68">
                  <c:v>85.6</c:v>
                </c:pt>
                <c:pt idx="69">
                  <c:v>87</c:v>
                </c:pt>
                <c:pt idx="70">
                  <c:v>80.3</c:v>
                </c:pt>
                <c:pt idx="71">
                  <c:v>76.599999999999994</c:v>
                </c:pt>
                <c:pt idx="72">
                  <c:v>83.8</c:v>
                </c:pt>
                <c:pt idx="73">
                  <c:v>79.5</c:v>
                </c:pt>
                <c:pt idx="74">
                  <c:v>90</c:v>
                </c:pt>
                <c:pt idx="75">
                  <c:v>78.900000000000006</c:v>
                </c:pt>
                <c:pt idx="77">
                  <c:v>96.4</c:v>
                </c:pt>
                <c:pt idx="78">
                  <c:v>75.400000000000006</c:v>
                </c:pt>
                <c:pt idx="79">
                  <c:v>90.1</c:v>
                </c:pt>
                <c:pt idx="80">
                  <c:v>70.900000000000006</c:v>
                </c:pt>
                <c:pt idx="81">
                  <c:v>65.400000000000006</c:v>
                </c:pt>
                <c:pt idx="82">
                  <c:v>71.7</c:v>
                </c:pt>
                <c:pt idx="83">
                  <c:v>74.5</c:v>
                </c:pt>
                <c:pt idx="84">
                  <c:v>84.3</c:v>
                </c:pt>
                <c:pt idx="85">
                  <c:v>79.3</c:v>
                </c:pt>
                <c:pt idx="86">
                  <c:v>87</c:v>
                </c:pt>
                <c:pt idx="87">
                  <c:v>83.2</c:v>
                </c:pt>
                <c:pt idx="88">
                  <c:v>78.599999999999994</c:v>
                </c:pt>
                <c:pt idx="89">
                  <c:v>73.7</c:v>
                </c:pt>
                <c:pt idx="90">
                  <c:v>85.2</c:v>
                </c:pt>
                <c:pt idx="91">
                  <c:v>83.7</c:v>
                </c:pt>
                <c:pt idx="92">
                  <c:v>73.5</c:v>
                </c:pt>
                <c:pt idx="93">
                  <c:v>84.4</c:v>
                </c:pt>
                <c:pt idx="94">
                  <c:v>94.1</c:v>
                </c:pt>
                <c:pt idx="95">
                  <c:v>75.400000000000006</c:v>
                </c:pt>
                <c:pt idx="96">
                  <c:v>69.599999999999994</c:v>
                </c:pt>
                <c:pt idx="97">
                  <c:v>71.2</c:v>
                </c:pt>
                <c:pt idx="98">
                  <c:v>70</c:v>
                </c:pt>
                <c:pt idx="99">
                  <c:v>78.099999999999994</c:v>
                </c:pt>
                <c:pt idx="100">
                  <c:v>93</c:v>
                </c:pt>
                <c:pt idx="101">
                  <c:v>75.400000000000006</c:v>
                </c:pt>
                <c:pt idx="103">
                  <c:v>84.2</c:v>
                </c:pt>
                <c:pt idx="104">
                  <c:v>74.400000000000006</c:v>
                </c:pt>
                <c:pt idx="105">
                  <c:v>99</c:v>
                </c:pt>
                <c:pt idx="106">
                  <c:v>68.400000000000006</c:v>
                </c:pt>
                <c:pt idx="107">
                  <c:v>81.900000000000006</c:v>
                </c:pt>
                <c:pt idx="108">
                  <c:v>68.5</c:v>
                </c:pt>
                <c:pt idx="109">
                  <c:v>87.4</c:v>
                </c:pt>
                <c:pt idx="110">
                  <c:v>85</c:v>
                </c:pt>
                <c:pt idx="111">
                  <c:v>85.4</c:v>
                </c:pt>
                <c:pt idx="112">
                  <c:v>77</c:v>
                </c:pt>
                <c:pt idx="113">
                  <c:v>77</c:v>
                </c:pt>
                <c:pt idx="114">
                  <c:v>74.599999999999994</c:v>
                </c:pt>
                <c:pt idx="115">
                  <c:v>88.1</c:v>
                </c:pt>
                <c:pt idx="116">
                  <c:v>77.7</c:v>
                </c:pt>
                <c:pt idx="117">
                  <c:v>80.2</c:v>
                </c:pt>
                <c:pt idx="118">
                  <c:v>76.599999999999994</c:v>
                </c:pt>
                <c:pt idx="119">
                  <c:v>87</c:v>
                </c:pt>
                <c:pt idx="120">
                  <c:v>71</c:v>
                </c:pt>
                <c:pt idx="121">
                  <c:v>91.7</c:v>
                </c:pt>
                <c:pt idx="122">
                  <c:v>90.2</c:v>
                </c:pt>
                <c:pt idx="123">
                  <c:v>71.900000000000006</c:v>
                </c:pt>
                <c:pt idx="124">
                  <c:v>78.3</c:v>
                </c:pt>
                <c:pt idx="125">
                  <c:v>65.599999999999994</c:v>
                </c:pt>
                <c:pt idx="126">
                  <c:v>91.8</c:v>
                </c:pt>
                <c:pt idx="127">
                  <c:v>99.9</c:v>
                </c:pt>
                <c:pt idx="128">
                  <c:v>80.2</c:v>
                </c:pt>
                <c:pt idx="130">
                  <c:v>80.5</c:v>
                </c:pt>
                <c:pt idx="131">
                  <c:v>90.6</c:v>
                </c:pt>
                <c:pt idx="132">
                  <c:v>77.599999999999994</c:v>
                </c:pt>
                <c:pt idx="133">
                  <c:v>81.7</c:v>
                </c:pt>
                <c:pt idx="134">
                  <c:v>100</c:v>
                </c:pt>
                <c:pt idx="135">
                  <c:v>74.3</c:v>
                </c:pt>
                <c:pt idx="136">
                  <c:v>70.900000000000006</c:v>
                </c:pt>
                <c:pt idx="137">
                  <c:v>77</c:v>
                </c:pt>
                <c:pt idx="138">
                  <c:v>78.599999999999994</c:v>
                </c:pt>
                <c:pt idx="139">
                  <c:v>81.099999999999994</c:v>
                </c:pt>
                <c:pt idx="140">
                  <c:v>67.3</c:v>
                </c:pt>
                <c:pt idx="141">
                  <c:v>59.1</c:v>
                </c:pt>
                <c:pt idx="142">
                  <c:v>97.3</c:v>
                </c:pt>
                <c:pt idx="143">
                  <c:v>83.4</c:v>
                </c:pt>
                <c:pt idx="144">
                  <c:v>66.2</c:v>
                </c:pt>
                <c:pt idx="145">
                  <c:v>68.7</c:v>
                </c:pt>
                <c:pt idx="146">
                  <c:v>74.3</c:v>
                </c:pt>
                <c:pt idx="147">
                  <c:v>78.5</c:v>
                </c:pt>
                <c:pt idx="148">
                  <c:v>85.1</c:v>
                </c:pt>
                <c:pt idx="149">
                  <c:v>81.400000000000006</c:v>
                </c:pt>
                <c:pt idx="150">
                  <c:v>83.7</c:v>
                </c:pt>
                <c:pt idx="151">
                  <c:v>70.099999999999994</c:v>
                </c:pt>
                <c:pt idx="152">
                  <c:v>75.7</c:v>
                </c:pt>
                <c:pt idx="153">
                  <c:v>75.599999999999994</c:v>
                </c:pt>
                <c:pt idx="154">
                  <c:v>50.4</c:v>
                </c:pt>
                <c:pt idx="155">
                  <c:v>62.5</c:v>
                </c:pt>
                <c:pt idx="156">
                  <c:v>68.900000000000006</c:v>
                </c:pt>
                <c:pt idx="157">
                  <c:v>67.400000000000006</c:v>
                </c:pt>
                <c:pt idx="159">
                  <c:v>95.6</c:v>
                </c:pt>
                <c:pt idx="160">
                  <c:v>69.099999999999994</c:v>
                </c:pt>
                <c:pt idx="161">
                  <c:v>88.6</c:v>
                </c:pt>
                <c:pt idx="162">
                  <c:v>88.1</c:v>
                </c:pt>
                <c:pt idx="163">
                  <c:v>83.6</c:v>
                </c:pt>
                <c:pt idx="164">
                  <c:v>77.400000000000006</c:v>
                </c:pt>
                <c:pt idx="165">
                  <c:v>73.400000000000006</c:v>
                </c:pt>
                <c:pt idx="166">
                  <c:v>81.099999999999994</c:v>
                </c:pt>
                <c:pt idx="167">
                  <c:v>86.5</c:v>
                </c:pt>
                <c:pt idx="168">
                  <c:v>74.3</c:v>
                </c:pt>
                <c:pt idx="169">
                  <c:v>66.900000000000006</c:v>
                </c:pt>
                <c:pt idx="170">
                  <c:v>59.1</c:v>
                </c:pt>
                <c:pt idx="171">
                  <c:v>79.400000000000006</c:v>
                </c:pt>
                <c:pt idx="172">
                  <c:v>77.099999999999994</c:v>
                </c:pt>
                <c:pt idx="173">
                  <c:v>57.6</c:v>
                </c:pt>
                <c:pt idx="174">
                  <c:v>76.900000000000006</c:v>
                </c:pt>
                <c:pt idx="175">
                  <c:v>81.8</c:v>
                </c:pt>
                <c:pt idx="176">
                  <c:v>74.400000000000006</c:v>
                </c:pt>
                <c:pt idx="177">
                  <c:v>76.599999999999994</c:v>
                </c:pt>
                <c:pt idx="178">
                  <c:v>82.6</c:v>
                </c:pt>
                <c:pt idx="179">
                  <c:v>83.4</c:v>
                </c:pt>
                <c:pt idx="180">
                  <c:v>80.2</c:v>
                </c:pt>
                <c:pt idx="181">
                  <c:v>100</c:v>
                </c:pt>
                <c:pt idx="182">
                  <c:v>75.7</c:v>
                </c:pt>
                <c:pt idx="183">
                  <c:v>82.1</c:v>
                </c:pt>
                <c:pt idx="184">
                  <c:v>84.5</c:v>
                </c:pt>
                <c:pt idx="185">
                  <c:v>93.3</c:v>
                </c:pt>
                <c:pt idx="186">
                  <c:v>71.900000000000006</c:v>
                </c:pt>
                <c:pt idx="187">
                  <c:v>87.9</c:v>
                </c:pt>
                <c:pt idx="188">
                  <c:v>85.7</c:v>
                </c:pt>
                <c:pt idx="189">
                  <c:v>86.9</c:v>
                </c:pt>
                <c:pt idx="190">
                  <c:v>100</c:v>
                </c:pt>
                <c:pt idx="191">
                  <c:v>76.5</c:v>
                </c:pt>
                <c:pt idx="193">
                  <c:v>71.7</c:v>
                </c:pt>
                <c:pt idx="194">
                  <c:v>93.3</c:v>
                </c:pt>
                <c:pt idx="195">
                  <c:v>86.3</c:v>
                </c:pt>
                <c:pt idx="196">
                  <c:v>72.7</c:v>
                </c:pt>
                <c:pt idx="197">
                  <c:v>77.2</c:v>
                </c:pt>
                <c:pt idx="198">
                  <c:v>65.3</c:v>
                </c:pt>
                <c:pt idx="199">
                  <c:v>86.8</c:v>
                </c:pt>
                <c:pt idx="200">
                  <c:v>71.099999999999994</c:v>
                </c:pt>
                <c:pt idx="201">
                  <c:v>76.099999999999994</c:v>
                </c:pt>
                <c:pt idx="202">
                  <c:v>75.3</c:v>
                </c:pt>
                <c:pt idx="203">
                  <c:v>72.5</c:v>
                </c:pt>
                <c:pt idx="204">
                  <c:v>91.3</c:v>
                </c:pt>
                <c:pt idx="205">
                  <c:v>85.2</c:v>
                </c:pt>
                <c:pt idx="206">
                  <c:v>100</c:v>
                </c:pt>
                <c:pt idx="207">
                  <c:v>74.599999999999994</c:v>
                </c:pt>
                <c:pt idx="208">
                  <c:v>64</c:v>
                </c:pt>
                <c:pt idx="209">
                  <c:v>94.8</c:v>
                </c:pt>
                <c:pt idx="210">
                  <c:v>70.900000000000006</c:v>
                </c:pt>
                <c:pt idx="211">
                  <c:v>62.1</c:v>
                </c:pt>
                <c:pt idx="212">
                  <c:v>92.5</c:v>
                </c:pt>
                <c:pt idx="213">
                  <c:v>77.900000000000006</c:v>
                </c:pt>
                <c:pt idx="216">
                  <c:v>98.8</c:v>
                </c:pt>
                <c:pt idx="217">
                  <c:v>75.8</c:v>
                </c:pt>
                <c:pt idx="218">
                  <c:v>87.9</c:v>
                </c:pt>
                <c:pt idx="219">
                  <c:v>72.5</c:v>
                </c:pt>
                <c:pt idx="220">
                  <c:v>80</c:v>
                </c:pt>
                <c:pt idx="221">
                  <c:v>70</c:v>
                </c:pt>
                <c:pt idx="222">
                  <c:v>85.3</c:v>
                </c:pt>
                <c:pt idx="223">
                  <c:v>67.2</c:v>
                </c:pt>
                <c:pt idx="224">
                  <c:v>90</c:v>
                </c:pt>
                <c:pt idx="226">
                  <c:v>78.599999999999994</c:v>
                </c:pt>
                <c:pt idx="227">
                  <c:v>84.2</c:v>
                </c:pt>
                <c:pt idx="228">
                  <c:v>75.2</c:v>
                </c:pt>
                <c:pt idx="229">
                  <c:v>66.8</c:v>
                </c:pt>
                <c:pt idx="230">
                  <c:v>55.6</c:v>
                </c:pt>
                <c:pt idx="231">
                  <c:v>72.599999999999994</c:v>
                </c:pt>
                <c:pt idx="232">
                  <c:v>82.5</c:v>
                </c:pt>
                <c:pt idx="233">
                  <c:v>69.2</c:v>
                </c:pt>
                <c:pt idx="234">
                  <c:v>97.4</c:v>
                </c:pt>
                <c:pt idx="235">
                  <c:v>74.8</c:v>
                </c:pt>
                <c:pt idx="236">
                  <c:v>74.3</c:v>
                </c:pt>
                <c:pt idx="237">
                  <c:v>54.9</c:v>
                </c:pt>
                <c:pt idx="238">
                  <c:v>72.2</c:v>
                </c:pt>
                <c:pt idx="239">
                  <c:v>92.7</c:v>
                </c:pt>
                <c:pt idx="240">
                  <c:v>74.599999999999994</c:v>
                </c:pt>
                <c:pt idx="241">
                  <c:v>85.9</c:v>
                </c:pt>
                <c:pt idx="242">
                  <c:v>88.3</c:v>
                </c:pt>
                <c:pt idx="243">
                  <c:v>69.8</c:v>
                </c:pt>
                <c:pt idx="244">
                  <c:v>80.7</c:v>
                </c:pt>
                <c:pt idx="245">
                  <c:v>75.2</c:v>
                </c:pt>
                <c:pt idx="246">
                  <c:v>86.7</c:v>
                </c:pt>
                <c:pt idx="247">
                  <c:v>74.900000000000006</c:v>
                </c:pt>
                <c:pt idx="248">
                  <c:v>84.9</c:v>
                </c:pt>
                <c:pt idx="249">
                  <c:v>86.3</c:v>
                </c:pt>
                <c:pt idx="250">
                  <c:v>75.8</c:v>
                </c:pt>
                <c:pt idx="251">
                  <c:v>63.9</c:v>
                </c:pt>
                <c:pt idx="252">
                  <c:v>92.7</c:v>
                </c:pt>
                <c:pt idx="253">
                  <c:v>71</c:v>
                </c:pt>
                <c:pt idx="254">
                  <c:v>82.6</c:v>
                </c:pt>
                <c:pt idx="255">
                  <c:v>77.8</c:v>
                </c:pt>
                <c:pt idx="256">
                  <c:v>86.8</c:v>
                </c:pt>
                <c:pt idx="257">
                  <c:v>85.6</c:v>
                </c:pt>
                <c:pt idx="258">
                  <c:v>88.8</c:v>
                </c:pt>
                <c:pt idx="259">
                  <c:v>68.400000000000006</c:v>
                </c:pt>
              </c:numCache>
            </c:numRef>
          </c:yVal>
          <c:smooth val="1"/>
          <c:extLst>
            <c:ext xmlns:c16="http://schemas.microsoft.com/office/drawing/2014/chart" uri="{C3380CC4-5D6E-409C-BE32-E72D297353CC}">
              <c16:uniqueId val="{00000000-A656-4979-A1AF-B519014DE944}"/>
            </c:ext>
          </c:extLst>
        </c:ser>
        <c:dLbls>
          <c:showLegendKey val="0"/>
          <c:showVal val="0"/>
          <c:showCatName val="0"/>
          <c:showSerName val="0"/>
          <c:showPercent val="0"/>
          <c:showBubbleSize val="0"/>
        </c:dLbls>
        <c:axId val="1993995990"/>
        <c:axId val="163450055"/>
      </c:scatterChart>
      <c:valAx>
        <c:axId val="19939959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commute_minutes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3450055"/>
        <c:crosses val="autoZero"/>
        <c:crossBetween val="midCat"/>
      </c:valAx>
      <c:valAx>
        <c:axId val="163450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final_score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93995990"/>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final_score vs. study_hours_week</a:t>
            </a:r>
          </a:p>
        </c:rich>
      </c:tx>
      <c:overlay val="0"/>
    </c:title>
    <c:autoTitleDeleted val="0"/>
    <c:plotArea>
      <c:layout/>
      <c:scatterChart>
        <c:scatterStyle val="lineMarker"/>
        <c:varyColors val="0"/>
        <c:ser>
          <c:idx val="0"/>
          <c:order val="0"/>
          <c:tx>
            <c:strRef>
              <c:f>'Part B_cleaned sheet'!$O$1</c:f>
              <c:strCache>
                <c:ptCount val="1"/>
                <c:pt idx="0">
                  <c:v>final_score</c:v>
                </c:pt>
              </c:strCache>
            </c:strRef>
          </c:tx>
          <c:spPr>
            <a:ln>
              <a:noFill/>
            </a:ln>
          </c:spPr>
          <c:marker>
            <c:symbol val="circle"/>
            <c:size val="7"/>
            <c:spPr>
              <a:solidFill>
                <a:schemeClr val="accent1"/>
              </a:solidFill>
              <a:ln cmpd="sng">
                <a:solidFill>
                  <a:schemeClr val="accent1"/>
                </a:solidFill>
              </a:ln>
            </c:spPr>
          </c:marker>
          <c:xVal>
            <c:numRef>
              <c:f>'Part B_cleaned sheet'!$F$2:$F$1000</c:f>
              <c:numCache>
                <c:formatCode>General</c:formatCode>
                <c:ptCount val="999"/>
                <c:pt idx="0">
                  <c:v>22.9</c:v>
                </c:pt>
                <c:pt idx="1">
                  <c:v>19.7</c:v>
                </c:pt>
                <c:pt idx="2">
                  <c:v>14</c:v>
                </c:pt>
                <c:pt idx="3">
                  <c:v>14</c:v>
                </c:pt>
                <c:pt idx="4">
                  <c:v>19.5</c:v>
                </c:pt>
                <c:pt idx="5">
                  <c:v>2</c:v>
                </c:pt>
                <c:pt idx="6">
                  <c:v>15.6</c:v>
                </c:pt>
                <c:pt idx="7">
                  <c:v>12.8</c:v>
                </c:pt>
                <c:pt idx="8">
                  <c:v>19.100000000000001</c:v>
                </c:pt>
                <c:pt idx="9">
                  <c:v>9.3000000000000007</c:v>
                </c:pt>
                <c:pt idx="10">
                  <c:v>12.5</c:v>
                </c:pt>
                <c:pt idx="11">
                  <c:v>15.7</c:v>
                </c:pt>
                <c:pt idx="12">
                  <c:v>18.600000000000001</c:v>
                </c:pt>
                <c:pt idx="13">
                  <c:v>19.7</c:v>
                </c:pt>
                <c:pt idx="14">
                  <c:v>16.100000000000001</c:v>
                </c:pt>
                <c:pt idx="15">
                  <c:v>7</c:v>
                </c:pt>
                <c:pt idx="16">
                  <c:v>16.7</c:v>
                </c:pt>
                <c:pt idx="17">
                  <c:v>25.7</c:v>
                </c:pt>
                <c:pt idx="18">
                  <c:v>15.6</c:v>
                </c:pt>
                <c:pt idx="19">
                  <c:v>23.1</c:v>
                </c:pt>
                <c:pt idx="21">
                  <c:v>11.7</c:v>
                </c:pt>
                <c:pt idx="22">
                  <c:v>2</c:v>
                </c:pt>
                <c:pt idx="23">
                  <c:v>9.1999999999999993</c:v>
                </c:pt>
                <c:pt idx="24">
                  <c:v>21.5</c:v>
                </c:pt>
                <c:pt idx="25">
                  <c:v>16.399999999999999</c:v>
                </c:pt>
                <c:pt idx="26">
                  <c:v>14.7</c:v>
                </c:pt>
                <c:pt idx="27">
                  <c:v>19</c:v>
                </c:pt>
                <c:pt idx="28">
                  <c:v>17.100000000000001</c:v>
                </c:pt>
                <c:pt idx="29">
                  <c:v>19.5</c:v>
                </c:pt>
                <c:pt idx="30">
                  <c:v>21.5</c:v>
                </c:pt>
                <c:pt idx="31">
                  <c:v>14.4</c:v>
                </c:pt>
                <c:pt idx="32">
                  <c:v>17.7</c:v>
                </c:pt>
                <c:pt idx="33">
                  <c:v>14.8</c:v>
                </c:pt>
                <c:pt idx="34">
                  <c:v>18.2</c:v>
                </c:pt>
                <c:pt idx="35">
                  <c:v>20.5</c:v>
                </c:pt>
                <c:pt idx="36">
                  <c:v>13.8</c:v>
                </c:pt>
                <c:pt idx="37">
                  <c:v>14</c:v>
                </c:pt>
                <c:pt idx="38">
                  <c:v>16.5</c:v>
                </c:pt>
                <c:pt idx="39">
                  <c:v>20.5</c:v>
                </c:pt>
                <c:pt idx="40">
                  <c:v>16.5</c:v>
                </c:pt>
                <c:pt idx="41">
                  <c:v>21.2</c:v>
                </c:pt>
                <c:pt idx="42">
                  <c:v>27.4</c:v>
                </c:pt>
                <c:pt idx="43">
                  <c:v>20.7</c:v>
                </c:pt>
                <c:pt idx="44">
                  <c:v>17.399999999999999</c:v>
                </c:pt>
                <c:pt idx="45">
                  <c:v>12.4</c:v>
                </c:pt>
                <c:pt idx="46">
                  <c:v>11.3</c:v>
                </c:pt>
                <c:pt idx="47">
                  <c:v>16.5</c:v>
                </c:pt>
                <c:pt idx="48">
                  <c:v>8.1</c:v>
                </c:pt>
                <c:pt idx="49">
                  <c:v>21.9</c:v>
                </c:pt>
                <c:pt idx="50">
                  <c:v>13.7</c:v>
                </c:pt>
                <c:pt idx="51">
                  <c:v>21</c:v>
                </c:pt>
                <c:pt idx="52">
                  <c:v>19.5</c:v>
                </c:pt>
                <c:pt idx="53">
                  <c:v>6.4</c:v>
                </c:pt>
                <c:pt idx="54">
                  <c:v>23.2</c:v>
                </c:pt>
                <c:pt idx="55">
                  <c:v>22.8</c:v>
                </c:pt>
                <c:pt idx="56">
                  <c:v>22.8</c:v>
                </c:pt>
                <c:pt idx="57">
                  <c:v>8.6999999999999993</c:v>
                </c:pt>
                <c:pt idx="58">
                  <c:v>15</c:v>
                </c:pt>
                <c:pt idx="59">
                  <c:v>17.8</c:v>
                </c:pt>
                <c:pt idx="60">
                  <c:v>27.4</c:v>
                </c:pt>
                <c:pt idx="61">
                  <c:v>8</c:v>
                </c:pt>
                <c:pt idx="62">
                  <c:v>23.7</c:v>
                </c:pt>
                <c:pt idx="63">
                  <c:v>23.3</c:v>
                </c:pt>
                <c:pt idx="64">
                  <c:v>15.2</c:v>
                </c:pt>
                <c:pt idx="65">
                  <c:v>14.5</c:v>
                </c:pt>
                <c:pt idx="66">
                  <c:v>17.100000000000001</c:v>
                </c:pt>
                <c:pt idx="67">
                  <c:v>24.3</c:v>
                </c:pt>
                <c:pt idx="68">
                  <c:v>24.4</c:v>
                </c:pt>
                <c:pt idx="69">
                  <c:v>21.8</c:v>
                </c:pt>
                <c:pt idx="70">
                  <c:v>23.8</c:v>
                </c:pt>
                <c:pt idx="71">
                  <c:v>16.100000000000001</c:v>
                </c:pt>
                <c:pt idx="72">
                  <c:v>18.100000000000001</c:v>
                </c:pt>
                <c:pt idx="73">
                  <c:v>16.600000000000001</c:v>
                </c:pt>
                <c:pt idx="74">
                  <c:v>16.5</c:v>
                </c:pt>
                <c:pt idx="75">
                  <c:v>18.8</c:v>
                </c:pt>
                <c:pt idx="76">
                  <c:v>19.3</c:v>
                </c:pt>
                <c:pt idx="77">
                  <c:v>24.7</c:v>
                </c:pt>
                <c:pt idx="79">
                  <c:v>19.399999999999999</c:v>
                </c:pt>
                <c:pt idx="80">
                  <c:v>17.899999999999999</c:v>
                </c:pt>
                <c:pt idx="81">
                  <c:v>6.8</c:v>
                </c:pt>
                <c:pt idx="82">
                  <c:v>16.3</c:v>
                </c:pt>
                <c:pt idx="83">
                  <c:v>11</c:v>
                </c:pt>
                <c:pt idx="84">
                  <c:v>23.6</c:v>
                </c:pt>
                <c:pt idx="85">
                  <c:v>14.1</c:v>
                </c:pt>
                <c:pt idx="86">
                  <c:v>11</c:v>
                </c:pt>
                <c:pt idx="87">
                  <c:v>15.6</c:v>
                </c:pt>
                <c:pt idx="88">
                  <c:v>12.3</c:v>
                </c:pt>
                <c:pt idx="89">
                  <c:v>12.8</c:v>
                </c:pt>
                <c:pt idx="90">
                  <c:v>25</c:v>
                </c:pt>
                <c:pt idx="91">
                  <c:v>21.2</c:v>
                </c:pt>
                <c:pt idx="92">
                  <c:v>16.8</c:v>
                </c:pt>
                <c:pt idx="93">
                  <c:v>22.3</c:v>
                </c:pt>
                <c:pt idx="94">
                  <c:v>20.5</c:v>
                </c:pt>
                <c:pt idx="95">
                  <c:v>17.8</c:v>
                </c:pt>
                <c:pt idx="96">
                  <c:v>11.9</c:v>
                </c:pt>
                <c:pt idx="97">
                  <c:v>16.8</c:v>
                </c:pt>
                <c:pt idx="98">
                  <c:v>11.8</c:v>
                </c:pt>
                <c:pt idx="99">
                  <c:v>15.7</c:v>
                </c:pt>
                <c:pt idx="100">
                  <c:v>24.8</c:v>
                </c:pt>
                <c:pt idx="101">
                  <c:v>14.4</c:v>
                </c:pt>
                <c:pt idx="102">
                  <c:v>15.1</c:v>
                </c:pt>
                <c:pt idx="103">
                  <c:v>12.9</c:v>
                </c:pt>
                <c:pt idx="104">
                  <c:v>15.3</c:v>
                </c:pt>
                <c:pt idx="105">
                  <c:v>25.8</c:v>
                </c:pt>
                <c:pt idx="106">
                  <c:v>13.1</c:v>
                </c:pt>
                <c:pt idx="107">
                  <c:v>17.399999999999999</c:v>
                </c:pt>
                <c:pt idx="108">
                  <c:v>14.2</c:v>
                </c:pt>
                <c:pt idx="109">
                  <c:v>25.9</c:v>
                </c:pt>
                <c:pt idx="112">
                  <c:v>16.8</c:v>
                </c:pt>
                <c:pt idx="113">
                  <c:v>9.5</c:v>
                </c:pt>
                <c:pt idx="114">
                  <c:v>9.3000000000000007</c:v>
                </c:pt>
                <c:pt idx="116">
                  <c:v>20.3</c:v>
                </c:pt>
                <c:pt idx="117">
                  <c:v>20.399999999999999</c:v>
                </c:pt>
                <c:pt idx="118">
                  <c:v>18.8</c:v>
                </c:pt>
                <c:pt idx="119">
                  <c:v>25.2</c:v>
                </c:pt>
                <c:pt idx="120">
                  <c:v>12.4</c:v>
                </c:pt>
                <c:pt idx="121">
                  <c:v>25.1</c:v>
                </c:pt>
                <c:pt idx="122">
                  <c:v>21.7</c:v>
                </c:pt>
                <c:pt idx="123">
                  <c:v>14.1</c:v>
                </c:pt>
                <c:pt idx="124">
                  <c:v>12.7</c:v>
                </c:pt>
                <c:pt idx="125">
                  <c:v>16.399999999999999</c:v>
                </c:pt>
                <c:pt idx="126">
                  <c:v>9.8000000000000007</c:v>
                </c:pt>
                <c:pt idx="127">
                  <c:v>20.8</c:v>
                </c:pt>
                <c:pt idx="128">
                  <c:v>18.5</c:v>
                </c:pt>
                <c:pt idx="129">
                  <c:v>18.600000000000001</c:v>
                </c:pt>
                <c:pt idx="130">
                  <c:v>17.600000000000001</c:v>
                </c:pt>
                <c:pt idx="132">
                  <c:v>12.6</c:v>
                </c:pt>
                <c:pt idx="133">
                  <c:v>12.3</c:v>
                </c:pt>
                <c:pt idx="134">
                  <c:v>23.1</c:v>
                </c:pt>
                <c:pt idx="135">
                  <c:v>23.3</c:v>
                </c:pt>
                <c:pt idx="136">
                  <c:v>10.4</c:v>
                </c:pt>
                <c:pt idx="137">
                  <c:v>21</c:v>
                </c:pt>
                <c:pt idx="138">
                  <c:v>17.899999999999999</c:v>
                </c:pt>
                <c:pt idx="139">
                  <c:v>12.9</c:v>
                </c:pt>
                <c:pt idx="140">
                  <c:v>14.3</c:v>
                </c:pt>
                <c:pt idx="141">
                  <c:v>8.5</c:v>
                </c:pt>
                <c:pt idx="142">
                  <c:v>21.9</c:v>
                </c:pt>
                <c:pt idx="143">
                  <c:v>23.4</c:v>
                </c:pt>
                <c:pt idx="144">
                  <c:v>3.2</c:v>
                </c:pt>
                <c:pt idx="145">
                  <c:v>12.7</c:v>
                </c:pt>
                <c:pt idx="146">
                  <c:v>8.8000000000000007</c:v>
                </c:pt>
                <c:pt idx="147">
                  <c:v>11.6</c:v>
                </c:pt>
                <c:pt idx="148">
                  <c:v>15.7</c:v>
                </c:pt>
                <c:pt idx="149">
                  <c:v>18.399999999999999</c:v>
                </c:pt>
                <c:pt idx="150">
                  <c:v>18.600000000000001</c:v>
                </c:pt>
                <c:pt idx="151">
                  <c:v>9.8000000000000007</c:v>
                </c:pt>
                <c:pt idx="152">
                  <c:v>18.100000000000001</c:v>
                </c:pt>
                <c:pt idx="153">
                  <c:v>17</c:v>
                </c:pt>
                <c:pt idx="154">
                  <c:v>5.0999999999999996</c:v>
                </c:pt>
                <c:pt idx="155">
                  <c:v>7.5</c:v>
                </c:pt>
                <c:pt idx="156">
                  <c:v>18.100000000000001</c:v>
                </c:pt>
                <c:pt idx="157">
                  <c:v>4.5</c:v>
                </c:pt>
                <c:pt idx="158">
                  <c:v>18.3</c:v>
                </c:pt>
                <c:pt idx="159">
                  <c:v>23.4</c:v>
                </c:pt>
                <c:pt idx="160">
                  <c:v>12.1</c:v>
                </c:pt>
                <c:pt idx="161">
                  <c:v>17.600000000000001</c:v>
                </c:pt>
                <c:pt idx="162">
                  <c:v>18.100000000000001</c:v>
                </c:pt>
                <c:pt idx="163">
                  <c:v>20.8</c:v>
                </c:pt>
                <c:pt idx="164">
                  <c:v>3.1</c:v>
                </c:pt>
                <c:pt idx="165">
                  <c:v>17.899999999999999</c:v>
                </c:pt>
                <c:pt idx="166">
                  <c:v>20.2</c:v>
                </c:pt>
                <c:pt idx="167">
                  <c:v>17.8</c:v>
                </c:pt>
                <c:pt idx="168">
                  <c:v>13.1</c:v>
                </c:pt>
                <c:pt idx="169">
                  <c:v>21.6</c:v>
                </c:pt>
                <c:pt idx="170">
                  <c:v>6.8</c:v>
                </c:pt>
                <c:pt idx="171">
                  <c:v>15.3</c:v>
                </c:pt>
                <c:pt idx="172">
                  <c:v>12.2</c:v>
                </c:pt>
                <c:pt idx="173">
                  <c:v>10.5</c:v>
                </c:pt>
                <c:pt idx="174">
                  <c:v>11.6</c:v>
                </c:pt>
                <c:pt idx="175">
                  <c:v>19</c:v>
                </c:pt>
                <c:pt idx="176">
                  <c:v>9.5</c:v>
                </c:pt>
                <c:pt idx="177">
                  <c:v>20.2</c:v>
                </c:pt>
                <c:pt idx="178">
                  <c:v>15.6</c:v>
                </c:pt>
                <c:pt idx="179">
                  <c:v>6.8</c:v>
                </c:pt>
                <c:pt idx="180">
                  <c:v>24.2</c:v>
                </c:pt>
                <c:pt idx="181">
                  <c:v>30.8</c:v>
                </c:pt>
                <c:pt idx="182">
                  <c:v>18.8</c:v>
                </c:pt>
                <c:pt idx="183">
                  <c:v>11.3</c:v>
                </c:pt>
                <c:pt idx="184">
                  <c:v>15.5</c:v>
                </c:pt>
                <c:pt idx="185">
                  <c:v>23.8</c:v>
                </c:pt>
                <c:pt idx="186">
                  <c:v>12.2</c:v>
                </c:pt>
                <c:pt idx="187">
                  <c:v>17.2</c:v>
                </c:pt>
                <c:pt idx="188">
                  <c:v>18.3</c:v>
                </c:pt>
                <c:pt idx="189">
                  <c:v>19.600000000000001</c:v>
                </c:pt>
                <c:pt idx="190">
                  <c:v>27.8</c:v>
                </c:pt>
                <c:pt idx="191">
                  <c:v>12.9</c:v>
                </c:pt>
                <c:pt idx="192">
                  <c:v>15.1</c:v>
                </c:pt>
                <c:pt idx="193">
                  <c:v>12.5</c:v>
                </c:pt>
                <c:pt idx="194">
                  <c:v>21.1</c:v>
                </c:pt>
                <c:pt idx="195">
                  <c:v>17.399999999999999</c:v>
                </c:pt>
                <c:pt idx="196">
                  <c:v>8.9</c:v>
                </c:pt>
                <c:pt idx="197">
                  <c:v>14.7</c:v>
                </c:pt>
                <c:pt idx="198">
                  <c:v>21.2</c:v>
                </c:pt>
                <c:pt idx="199">
                  <c:v>19.899999999999999</c:v>
                </c:pt>
                <c:pt idx="200">
                  <c:v>13.7</c:v>
                </c:pt>
                <c:pt idx="201">
                  <c:v>17</c:v>
                </c:pt>
                <c:pt idx="203">
                  <c:v>11.4</c:v>
                </c:pt>
                <c:pt idx="204">
                  <c:v>16.8</c:v>
                </c:pt>
                <c:pt idx="205">
                  <c:v>21</c:v>
                </c:pt>
                <c:pt idx="206">
                  <c:v>26.4</c:v>
                </c:pt>
                <c:pt idx="207">
                  <c:v>11.4</c:v>
                </c:pt>
                <c:pt idx="208">
                  <c:v>11.5</c:v>
                </c:pt>
                <c:pt idx="209">
                  <c:v>23.5</c:v>
                </c:pt>
                <c:pt idx="210">
                  <c:v>13.4</c:v>
                </c:pt>
                <c:pt idx="211">
                  <c:v>20.100000000000001</c:v>
                </c:pt>
                <c:pt idx="212">
                  <c:v>20.399999999999999</c:v>
                </c:pt>
                <c:pt idx="213">
                  <c:v>13.1</c:v>
                </c:pt>
                <c:pt idx="215">
                  <c:v>16.600000000000001</c:v>
                </c:pt>
                <c:pt idx="216">
                  <c:v>16.2</c:v>
                </c:pt>
                <c:pt idx="217">
                  <c:v>7.5</c:v>
                </c:pt>
                <c:pt idx="218">
                  <c:v>22.2</c:v>
                </c:pt>
                <c:pt idx="219">
                  <c:v>9.6</c:v>
                </c:pt>
                <c:pt idx="220">
                  <c:v>11.6</c:v>
                </c:pt>
                <c:pt idx="221">
                  <c:v>16.100000000000001</c:v>
                </c:pt>
                <c:pt idx="222">
                  <c:v>15.1</c:v>
                </c:pt>
                <c:pt idx="223">
                  <c:v>6.7</c:v>
                </c:pt>
                <c:pt idx="224">
                  <c:v>21.2</c:v>
                </c:pt>
                <c:pt idx="225">
                  <c:v>9.3000000000000007</c:v>
                </c:pt>
                <c:pt idx="227">
                  <c:v>17.899999999999999</c:v>
                </c:pt>
                <c:pt idx="228">
                  <c:v>14.8</c:v>
                </c:pt>
                <c:pt idx="229">
                  <c:v>16.600000000000001</c:v>
                </c:pt>
                <c:pt idx="231">
                  <c:v>20</c:v>
                </c:pt>
                <c:pt idx="232">
                  <c:v>20.9</c:v>
                </c:pt>
                <c:pt idx="233">
                  <c:v>16.7</c:v>
                </c:pt>
                <c:pt idx="234">
                  <c:v>20</c:v>
                </c:pt>
                <c:pt idx="236">
                  <c:v>9.1</c:v>
                </c:pt>
                <c:pt idx="237">
                  <c:v>5.2</c:v>
                </c:pt>
                <c:pt idx="238">
                  <c:v>16.100000000000001</c:v>
                </c:pt>
                <c:pt idx="239">
                  <c:v>20.100000000000001</c:v>
                </c:pt>
                <c:pt idx="240">
                  <c:v>10.199999999999999</c:v>
                </c:pt>
                <c:pt idx="241">
                  <c:v>19.7</c:v>
                </c:pt>
                <c:pt idx="243">
                  <c:v>16.7</c:v>
                </c:pt>
                <c:pt idx="244">
                  <c:v>22.6</c:v>
                </c:pt>
                <c:pt idx="245">
                  <c:v>18.8</c:v>
                </c:pt>
                <c:pt idx="246">
                  <c:v>15.1</c:v>
                </c:pt>
                <c:pt idx="247">
                  <c:v>20.2</c:v>
                </c:pt>
                <c:pt idx="248">
                  <c:v>18.7</c:v>
                </c:pt>
                <c:pt idx="249">
                  <c:v>15.2</c:v>
                </c:pt>
                <c:pt idx="250">
                  <c:v>14.9</c:v>
                </c:pt>
                <c:pt idx="251">
                  <c:v>13.4</c:v>
                </c:pt>
                <c:pt idx="252">
                  <c:v>17.899999999999999</c:v>
                </c:pt>
                <c:pt idx="253">
                  <c:v>9.8000000000000007</c:v>
                </c:pt>
                <c:pt idx="254">
                  <c:v>16.8</c:v>
                </c:pt>
                <c:pt idx="255">
                  <c:v>13.4</c:v>
                </c:pt>
                <c:pt idx="256">
                  <c:v>18.5</c:v>
                </c:pt>
                <c:pt idx="257">
                  <c:v>19.2</c:v>
                </c:pt>
                <c:pt idx="258">
                  <c:v>20.7</c:v>
                </c:pt>
                <c:pt idx="259">
                  <c:v>16.100000000000001</c:v>
                </c:pt>
              </c:numCache>
            </c:numRef>
          </c:xVal>
          <c:yVal>
            <c:numRef>
              <c:f>'Part B_cleaned sheet'!$O$2:$O$1000</c:f>
              <c:numCache>
                <c:formatCode>General</c:formatCode>
                <c:ptCount val="999"/>
                <c:pt idx="0">
                  <c:v>86.4</c:v>
                </c:pt>
                <c:pt idx="1">
                  <c:v>90.3</c:v>
                </c:pt>
                <c:pt idx="2">
                  <c:v>72.599999999999994</c:v>
                </c:pt>
                <c:pt idx="3">
                  <c:v>76.7</c:v>
                </c:pt>
                <c:pt idx="4">
                  <c:v>82.1</c:v>
                </c:pt>
                <c:pt idx="5">
                  <c:v>80.2</c:v>
                </c:pt>
                <c:pt idx="6">
                  <c:v>72.400000000000006</c:v>
                </c:pt>
                <c:pt idx="7">
                  <c:v>74</c:v>
                </c:pt>
                <c:pt idx="8">
                  <c:v>83.7</c:v>
                </c:pt>
                <c:pt idx="9">
                  <c:v>58.5</c:v>
                </c:pt>
                <c:pt idx="10">
                  <c:v>75.8</c:v>
                </c:pt>
                <c:pt idx="11">
                  <c:v>79.7</c:v>
                </c:pt>
                <c:pt idx="12">
                  <c:v>93.5</c:v>
                </c:pt>
                <c:pt idx="13">
                  <c:v>78.5</c:v>
                </c:pt>
                <c:pt idx="14">
                  <c:v>69.7</c:v>
                </c:pt>
                <c:pt idx="15">
                  <c:v>69.599999999999994</c:v>
                </c:pt>
                <c:pt idx="16">
                  <c:v>87.5</c:v>
                </c:pt>
                <c:pt idx="17">
                  <c:v>80.3</c:v>
                </c:pt>
                <c:pt idx="18">
                  <c:v>78.099999999999994</c:v>
                </c:pt>
                <c:pt idx="19">
                  <c:v>92.3</c:v>
                </c:pt>
                <c:pt idx="20">
                  <c:v>67.3</c:v>
                </c:pt>
                <c:pt idx="21">
                  <c:v>69.3</c:v>
                </c:pt>
                <c:pt idx="22">
                  <c:v>53.3</c:v>
                </c:pt>
                <c:pt idx="23">
                  <c:v>67.599999999999994</c:v>
                </c:pt>
                <c:pt idx="24">
                  <c:v>85.9</c:v>
                </c:pt>
                <c:pt idx="25">
                  <c:v>86.1</c:v>
                </c:pt>
                <c:pt idx="26">
                  <c:v>77.900000000000006</c:v>
                </c:pt>
                <c:pt idx="27">
                  <c:v>68.099999999999994</c:v>
                </c:pt>
                <c:pt idx="28">
                  <c:v>89.4</c:v>
                </c:pt>
                <c:pt idx="29">
                  <c:v>70.7</c:v>
                </c:pt>
                <c:pt idx="30">
                  <c:v>91.7</c:v>
                </c:pt>
                <c:pt idx="31">
                  <c:v>83.9</c:v>
                </c:pt>
                <c:pt idx="32">
                  <c:v>77.2</c:v>
                </c:pt>
                <c:pt idx="33">
                  <c:v>64.2</c:v>
                </c:pt>
                <c:pt idx="34">
                  <c:v>72.900000000000006</c:v>
                </c:pt>
                <c:pt idx="35">
                  <c:v>95.6</c:v>
                </c:pt>
                <c:pt idx="36">
                  <c:v>68.2</c:v>
                </c:pt>
                <c:pt idx="37">
                  <c:v>72.900000000000006</c:v>
                </c:pt>
                <c:pt idx="38">
                  <c:v>79.3</c:v>
                </c:pt>
                <c:pt idx="39">
                  <c:v>84.6</c:v>
                </c:pt>
                <c:pt idx="40">
                  <c:v>77</c:v>
                </c:pt>
                <c:pt idx="41">
                  <c:v>80.400000000000006</c:v>
                </c:pt>
                <c:pt idx="42">
                  <c:v>99.8</c:v>
                </c:pt>
                <c:pt idx="43">
                  <c:v>83.6</c:v>
                </c:pt>
                <c:pt idx="44">
                  <c:v>87.7</c:v>
                </c:pt>
                <c:pt idx="45">
                  <c:v>74.3</c:v>
                </c:pt>
                <c:pt idx="46">
                  <c:v>75.3</c:v>
                </c:pt>
                <c:pt idx="47">
                  <c:v>79.3</c:v>
                </c:pt>
                <c:pt idx="48">
                  <c:v>69.2</c:v>
                </c:pt>
                <c:pt idx="49">
                  <c:v>87.7</c:v>
                </c:pt>
                <c:pt idx="50">
                  <c:v>69.400000000000006</c:v>
                </c:pt>
                <c:pt idx="51">
                  <c:v>88.2</c:v>
                </c:pt>
                <c:pt idx="52">
                  <c:v>88.2</c:v>
                </c:pt>
                <c:pt idx="53">
                  <c:v>66.900000000000006</c:v>
                </c:pt>
                <c:pt idx="54">
                  <c:v>100</c:v>
                </c:pt>
                <c:pt idx="55">
                  <c:v>85.3</c:v>
                </c:pt>
                <c:pt idx="56">
                  <c:v>84.1</c:v>
                </c:pt>
                <c:pt idx="57">
                  <c:v>73.3</c:v>
                </c:pt>
                <c:pt idx="58">
                  <c:v>75.2</c:v>
                </c:pt>
                <c:pt idx="59">
                  <c:v>83.1</c:v>
                </c:pt>
                <c:pt idx="60">
                  <c:v>100</c:v>
                </c:pt>
                <c:pt idx="61">
                  <c:v>73.3</c:v>
                </c:pt>
                <c:pt idx="62">
                  <c:v>90.5</c:v>
                </c:pt>
                <c:pt idx="63">
                  <c:v>61.5</c:v>
                </c:pt>
                <c:pt idx="64">
                  <c:v>84.9</c:v>
                </c:pt>
                <c:pt idx="65">
                  <c:v>92.3</c:v>
                </c:pt>
                <c:pt idx="66">
                  <c:v>94.9</c:v>
                </c:pt>
                <c:pt idx="67">
                  <c:v>91.6</c:v>
                </c:pt>
                <c:pt idx="68">
                  <c:v>85.6</c:v>
                </c:pt>
                <c:pt idx="69">
                  <c:v>87</c:v>
                </c:pt>
                <c:pt idx="70">
                  <c:v>80.3</c:v>
                </c:pt>
                <c:pt idx="71">
                  <c:v>76.599999999999994</c:v>
                </c:pt>
                <c:pt idx="72">
                  <c:v>83.8</c:v>
                </c:pt>
                <c:pt idx="73">
                  <c:v>79.5</c:v>
                </c:pt>
                <c:pt idx="74">
                  <c:v>90</c:v>
                </c:pt>
                <c:pt idx="75">
                  <c:v>78.900000000000006</c:v>
                </c:pt>
                <c:pt idx="77">
                  <c:v>96.4</c:v>
                </c:pt>
                <c:pt idx="78">
                  <c:v>75.400000000000006</c:v>
                </c:pt>
                <c:pt idx="79">
                  <c:v>90.1</c:v>
                </c:pt>
                <c:pt idx="80">
                  <c:v>70.900000000000006</c:v>
                </c:pt>
                <c:pt idx="81">
                  <c:v>65.400000000000006</c:v>
                </c:pt>
                <c:pt idx="82">
                  <c:v>71.7</c:v>
                </c:pt>
                <c:pt idx="83">
                  <c:v>74.5</c:v>
                </c:pt>
                <c:pt idx="84">
                  <c:v>84.3</c:v>
                </c:pt>
                <c:pt idx="85">
                  <c:v>79.3</c:v>
                </c:pt>
                <c:pt idx="86">
                  <c:v>87</c:v>
                </c:pt>
                <c:pt idx="87">
                  <c:v>83.2</c:v>
                </c:pt>
                <c:pt idx="88">
                  <c:v>78.599999999999994</c:v>
                </c:pt>
                <c:pt idx="89">
                  <c:v>73.7</c:v>
                </c:pt>
                <c:pt idx="90">
                  <c:v>85.2</c:v>
                </c:pt>
                <c:pt idx="91">
                  <c:v>83.7</c:v>
                </c:pt>
                <c:pt idx="92">
                  <c:v>73.5</c:v>
                </c:pt>
                <c:pt idx="93">
                  <c:v>84.4</c:v>
                </c:pt>
                <c:pt idx="94">
                  <c:v>94.1</c:v>
                </c:pt>
                <c:pt idx="95">
                  <c:v>75.400000000000006</c:v>
                </c:pt>
                <c:pt idx="96">
                  <c:v>69.599999999999994</c:v>
                </c:pt>
                <c:pt idx="97">
                  <c:v>71.2</c:v>
                </c:pt>
                <c:pt idx="98">
                  <c:v>70</c:v>
                </c:pt>
                <c:pt idx="99">
                  <c:v>78.099999999999994</c:v>
                </c:pt>
                <c:pt idx="100">
                  <c:v>93</c:v>
                </c:pt>
                <c:pt idx="101">
                  <c:v>75.400000000000006</c:v>
                </c:pt>
                <c:pt idx="103">
                  <c:v>84.2</c:v>
                </c:pt>
                <c:pt idx="104">
                  <c:v>74.400000000000006</c:v>
                </c:pt>
                <c:pt idx="105">
                  <c:v>99</c:v>
                </c:pt>
                <c:pt idx="106">
                  <c:v>68.400000000000006</c:v>
                </c:pt>
                <c:pt idx="107">
                  <c:v>81.900000000000006</c:v>
                </c:pt>
                <c:pt idx="108">
                  <c:v>68.5</c:v>
                </c:pt>
                <c:pt idx="109">
                  <c:v>87.4</c:v>
                </c:pt>
                <c:pt idx="110">
                  <c:v>85</c:v>
                </c:pt>
                <c:pt idx="111">
                  <c:v>85.4</c:v>
                </c:pt>
                <c:pt idx="112">
                  <c:v>77</c:v>
                </c:pt>
                <c:pt idx="113">
                  <c:v>77</c:v>
                </c:pt>
                <c:pt idx="114">
                  <c:v>74.599999999999994</c:v>
                </c:pt>
                <c:pt idx="115">
                  <c:v>88.1</c:v>
                </c:pt>
                <c:pt idx="116">
                  <c:v>77.7</c:v>
                </c:pt>
                <c:pt idx="117">
                  <c:v>80.2</c:v>
                </c:pt>
                <c:pt idx="118">
                  <c:v>76.599999999999994</c:v>
                </c:pt>
                <c:pt idx="119">
                  <c:v>87</c:v>
                </c:pt>
                <c:pt idx="120">
                  <c:v>71</c:v>
                </c:pt>
                <c:pt idx="121">
                  <c:v>91.7</c:v>
                </c:pt>
                <c:pt idx="122">
                  <c:v>90.2</c:v>
                </c:pt>
                <c:pt idx="123">
                  <c:v>71.900000000000006</c:v>
                </c:pt>
                <c:pt idx="124">
                  <c:v>78.3</c:v>
                </c:pt>
                <c:pt idx="125">
                  <c:v>65.599999999999994</c:v>
                </c:pt>
                <c:pt idx="126">
                  <c:v>91.8</c:v>
                </c:pt>
                <c:pt idx="127">
                  <c:v>99.9</c:v>
                </c:pt>
                <c:pt idx="128">
                  <c:v>80.2</c:v>
                </c:pt>
                <c:pt idx="130">
                  <c:v>80.5</c:v>
                </c:pt>
                <c:pt idx="131">
                  <c:v>90.6</c:v>
                </c:pt>
                <c:pt idx="132">
                  <c:v>77.599999999999994</c:v>
                </c:pt>
                <c:pt idx="133">
                  <c:v>81.7</c:v>
                </c:pt>
                <c:pt idx="134">
                  <c:v>100</c:v>
                </c:pt>
                <c:pt idx="135">
                  <c:v>74.3</c:v>
                </c:pt>
                <c:pt idx="136">
                  <c:v>70.900000000000006</c:v>
                </c:pt>
                <c:pt idx="137">
                  <c:v>77</c:v>
                </c:pt>
                <c:pt idx="138">
                  <c:v>78.599999999999994</c:v>
                </c:pt>
                <c:pt idx="139">
                  <c:v>81.099999999999994</c:v>
                </c:pt>
                <c:pt idx="140">
                  <c:v>67.3</c:v>
                </c:pt>
                <c:pt idx="141">
                  <c:v>59.1</c:v>
                </c:pt>
                <c:pt idx="142">
                  <c:v>97.3</c:v>
                </c:pt>
                <c:pt idx="143">
                  <c:v>83.4</c:v>
                </c:pt>
                <c:pt idx="144">
                  <c:v>66.2</c:v>
                </c:pt>
                <c:pt idx="145">
                  <c:v>68.7</c:v>
                </c:pt>
                <c:pt idx="146">
                  <c:v>74.3</c:v>
                </c:pt>
                <c:pt idx="147">
                  <c:v>78.5</c:v>
                </c:pt>
                <c:pt idx="148">
                  <c:v>85.1</c:v>
                </c:pt>
                <c:pt idx="149">
                  <c:v>81.400000000000006</c:v>
                </c:pt>
                <c:pt idx="150">
                  <c:v>83.7</c:v>
                </c:pt>
                <c:pt idx="151">
                  <c:v>70.099999999999994</c:v>
                </c:pt>
                <c:pt idx="152">
                  <c:v>75.7</c:v>
                </c:pt>
                <c:pt idx="153">
                  <c:v>75.599999999999994</c:v>
                </c:pt>
                <c:pt idx="154">
                  <c:v>50.4</c:v>
                </c:pt>
                <c:pt idx="155">
                  <c:v>62.5</c:v>
                </c:pt>
                <c:pt idx="156">
                  <c:v>68.900000000000006</c:v>
                </c:pt>
                <c:pt idx="157">
                  <c:v>67.400000000000006</c:v>
                </c:pt>
                <c:pt idx="159">
                  <c:v>95.6</c:v>
                </c:pt>
                <c:pt idx="160">
                  <c:v>69.099999999999994</c:v>
                </c:pt>
                <c:pt idx="161">
                  <c:v>88.6</c:v>
                </c:pt>
                <c:pt idx="162">
                  <c:v>88.1</c:v>
                </c:pt>
                <c:pt idx="163">
                  <c:v>83.6</c:v>
                </c:pt>
                <c:pt idx="164">
                  <c:v>77.400000000000006</c:v>
                </c:pt>
                <c:pt idx="165">
                  <c:v>73.400000000000006</c:v>
                </c:pt>
                <c:pt idx="166">
                  <c:v>81.099999999999994</c:v>
                </c:pt>
                <c:pt idx="167">
                  <c:v>86.5</c:v>
                </c:pt>
                <c:pt idx="168">
                  <c:v>74.3</c:v>
                </c:pt>
                <c:pt idx="169">
                  <c:v>66.900000000000006</c:v>
                </c:pt>
                <c:pt idx="170">
                  <c:v>59.1</c:v>
                </c:pt>
                <c:pt idx="171">
                  <c:v>79.400000000000006</c:v>
                </c:pt>
                <c:pt idx="172">
                  <c:v>77.099999999999994</c:v>
                </c:pt>
                <c:pt idx="173">
                  <c:v>57.6</c:v>
                </c:pt>
                <c:pt idx="174">
                  <c:v>76.900000000000006</c:v>
                </c:pt>
                <c:pt idx="175">
                  <c:v>81.8</c:v>
                </c:pt>
                <c:pt idx="176">
                  <c:v>74.400000000000006</c:v>
                </c:pt>
                <c:pt idx="177">
                  <c:v>76.599999999999994</c:v>
                </c:pt>
                <c:pt idx="178">
                  <c:v>82.6</c:v>
                </c:pt>
                <c:pt idx="179">
                  <c:v>83.4</c:v>
                </c:pt>
                <c:pt idx="180">
                  <c:v>80.2</c:v>
                </c:pt>
                <c:pt idx="181">
                  <c:v>100</c:v>
                </c:pt>
                <c:pt idx="182">
                  <c:v>75.7</c:v>
                </c:pt>
                <c:pt idx="183">
                  <c:v>82.1</c:v>
                </c:pt>
                <c:pt idx="184">
                  <c:v>84.5</c:v>
                </c:pt>
                <c:pt idx="185">
                  <c:v>93.3</c:v>
                </c:pt>
                <c:pt idx="186">
                  <c:v>71.900000000000006</c:v>
                </c:pt>
                <c:pt idx="187">
                  <c:v>87.9</c:v>
                </c:pt>
                <c:pt idx="188">
                  <c:v>85.7</c:v>
                </c:pt>
                <c:pt idx="189">
                  <c:v>86.9</c:v>
                </c:pt>
                <c:pt idx="190">
                  <c:v>100</c:v>
                </c:pt>
                <c:pt idx="191">
                  <c:v>76.5</c:v>
                </c:pt>
                <c:pt idx="193">
                  <c:v>71.7</c:v>
                </c:pt>
                <c:pt idx="194">
                  <c:v>93.3</c:v>
                </c:pt>
                <c:pt idx="195">
                  <c:v>86.3</c:v>
                </c:pt>
                <c:pt idx="196">
                  <c:v>72.7</c:v>
                </c:pt>
                <c:pt idx="197">
                  <c:v>77.2</c:v>
                </c:pt>
                <c:pt idx="198">
                  <c:v>65.3</c:v>
                </c:pt>
                <c:pt idx="199">
                  <c:v>86.8</c:v>
                </c:pt>
                <c:pt idx="200">
                  <c:v>71.099999999999994</c:v>
                </c:pt>
                <c:pt idx="201">
                  <c:v>76.099999999999994</c:v>
                </c:pt>
                <c:pt idx="202">
                  <c:v>75.3</c:v>
                </c:pt>
                <c:pt idx="203">
                  <c:v>72.5</c:v>
                </c:pt>
                <c:pt idx="204">
                  <c:v>91.3</c:v>
                </c:pt>
                <c:pt idx="205">
                  <c:v>85.2</c:v>
                </c:pt>
                <c:pt idx="206">
                  <c:v>100</c:v>
                </c:pt>
                <c:pt idx="207">
                  <c:v>74.599999999999994</c:v>
                </c:pt>
                <c:pt idx="208">
                  <c:v>64</c:v>
                </c:pt>
                <c:pt idx="209">
                  <c:v>94.8</c:v>
                </c:pt>
                <c:pt idx="210">
                  <c:v>70.900000000000006</c:v>
                </c:pt>
                <c:pt idx="211">
                  <c:v>62.1</c:v>
                </c:pt>
                <c:pt idx="212">
                  <c:v>92.5</c:v>
                </c:pt>
                <c:pt idx="213">
                  <c:v>77.900000000000006</c:v>
                </c:pt>
                <c:pt idx="216">
                  <c:v>98.8</c:v>
                </c:pt>
                <c:pt idx="217">
                  <c:v>75.8</c:v>
                </c:pt>
                <c:pt idx="218">
                  <c:v>87.9</c:v>
                </c:pt>
                <c:pt idx="219">
                  <c:v>72.5</c:v>
                </c:pt>
                <c:pt idx="220">
                  <c:v>80</c:v>
                </c:pt>
                <c:pt idx="221">
                  <c:v>70</c:v>
                </c:pt>
                <c:pt idx="222">
                  <c:v>85.3</c:v>
                </c:pt>
                <c:pt idx="223">
                  <c:v>67.2</c:v>
                </c:pt>
                <c:pt idx="224">
                  <c:v>90</c:v>
                </c:pt>
                <c:pt idx="226">
                  <c:v>78.599999999999994</c:v>
                </c:pt>
                <c:pt idx="227">
                  <c:v>84.2</c:v>
                </c:pt>
                <c:pt idx="228">
                  <c:v>75.2</c:v>
                </c:pt>
                <c:pt idx="229">
                  <c:v>66.8</c:v>
                </c:pt>
                <c:pt idx="230">
                  <c:v>55.6</c:v>
                </c:pt>
                <c:pt idx="231">
                  <c:v>72.599999999999994</c:v>
                </c:pt>
                <c:pt idx="232">
                  <c:v>82.5</c:v>
                </c:pt>
                <c:pt idx="233">
                  <c:v>69.2</c:v>
                </c:pt>
                <c:pt idx="234">
                  <c:v>97.4</c:v>
                </c:pt>
                <c:pt idx="235">
                  <c:v>74.8</c:v>
                </c:pt>
                <c:pt idx="236">
                  <c:v>74.3</c:v>
                </c:pt>
                <c:pt idx="237">
                  <c:v>54.9</c:v>
                </c:pt>
                <c:pt idx="238">
                  <c:v>72.2</c:v>
                </c:pt>
                <c:pt idx="239">
                  <c:v>92.7</c:v>
                </c:pt>
                <c:pt idx="240">
                  <c:v>74.599999999999994</c:v>
                </c:pt>
                <c:pt idx="241">
                  <c:v>85.9</c:v>
                </c:pt>
                <c:pt idx="242">
                  <c:v>88.3</c:v>
                </c:pt>
                <c:pt idx="243">
                  <c:v>69.8</c:v>
                </c:pt>
                <c:pt idx="244">
                  <c:v>80.7</c:v>
                </c:pt>
                <c:pt idx="245">
                  <c:v>75.2</c:v>
                </c:pt>
                <c:pt idx="246">
                  <c:v>86.7</c:v>
                </c:pt>
                <c:pt idx="247">
                  <c:v>74.900000000000006</c:v>
                </c:pt>
                <c:pt idx="248">
                  <c:v>84.9</c:v>
                </c:pt>
                <c:pt idx="249">
                  <c:v>86.3</c:v>
                </c:pt>
                <c:pt idx="250">
                  <c:v>75.8</c:v>
                </c:pt>
                <c:pt idx="251">
                  <c:v>63.9</c:v>
                </c:pt>
                <c:pt idx="252">
                  <c:v>92.7</c:v>
                </c:pt>
                <c:pt idx="253">
                  <c:v>71</c:v>
                </c:pt>
                <c:pt idx="254">
                  <c:v>82.6</c:v>
                </c:pt>
                <c:pt idx="255">
                  <c:v>77.8</c:v>
                </c:pt>
                <c:pt idx="256">
                  <c:v>86.8</c:v>
                </c:pt>
                <c:pt idx="257">
                  <c:v>85.6</c:v>
                </c:pt>
                <c:pt idx="258">
                  <c:v>88.8</c:v>
                </c:pt>
                <c:pt idx="259">
                  <c:v>68.400000000000006</c:v>
                </c:pt>
              </c:numCache>
            </c:numRef>
          </c:yVal>
          <c:smooth val="1"/>
          <c:extLst>
            <c:ext xmlns:c16="http://schemas.microsoft.com/office/drawing/2014/chart" uri="{C3380CC4-5D6E-409C-BE32-E72D297353CC}">
              <c16:uniqueId val="{00000000-D632-49A3-B9B0-77C077511770}"/>
            </c:ext>
          </c:extLst>
        </c:ser>
        <c:dLbls>
          <c:showLegendKey val="0"/>
          <c:showVal val="0"/>
          <c:showCatName val="0"/>
          <c:showSerName val="0"/>
          <c:showPercent val="0"/>
          <c:showBubbleSize val="0"/>
        </c:dLbls>
        <c:axId val="454421482"/>
        <c:axId val="1337205603"/>
      </c:scatterChart>
      <c:valAx>
        <c:axId val="4544214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study_hours_week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37205603"/>
        <c:crosses val="autoZero"/>
        <c:crossBetween val="midCat"/>
      </c:valAx>
      <c:valAx>
        <c:axId val="1337205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final_score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54421482"/>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Cleaned_final version.xlsx]Part B_cleaned sheet!PivotTable3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barChart>
        <c:barDir val="bar"/>
        <c:grouping val="clustered"/>
        <c:varyColors val="0"/>
        <c:ser>
          <c:idx val="0"/>
          <c:order val="0"/>
          <c:tx>
            <c:strRef>
              <c:f>'Part B_cleaned sheet'!$AL$1</c:f>
              <c:strCache>
                <c:ptCount val="1"/>
                <c:pt idx="0">
                  <c:v>Average of commute_minutes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790-4EE0-8822-E32BE5CB203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790-4EE0-8822-E32BE5CB203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790-4EE0-8822-E32BE5CB203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790-4EE0-8822-E32BE5CB203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0790-4EE0-8822-E32BE5CB2030}"/>
              </c:ext>
            </c:extLst>
          </c:dPt>
          <c:dPt>
            <c:idx val="5"/>
            <c:invertIfNegative val="0"/>
            <c:bubble3D val="0"/>
            <c:extLst>
              <c:ext xmlns:c16="http://schemas.microsoft.com/office/drawing/2014/chart" uri="{C3380CC4-5D6E-409C-BE32-E72D297353CC}">
                <c16:uniqueId val="{0000000B-0790-4EE0-8822-E32BE5CB2030}"/>
              </c:ext>
            </c:extLst>
          </c:dPt>
          <c:cat>
            <c:strRef>
              <c:f>'Part B_cleaned sheet'!$AK$2:$AK$7</c:f>
              <c:strCache>
                <c:ptCount val="5"/>
                <c:pt idx="0">
                  <c:v>alexandria</c:v>
                </c:pt>
                <c:pt idx="1">
                  <c:v>assiut</c:v>
                </c:pt>
                <c:pt idx="2">
                  <c:v>cairo</c:v>
                </c:pt>
                <c:pt idx="3">
                  <c:v>mansoura</c:v>
                </c:pt>
                <c:pt idx="4">
                  <c:v>menoufia</c:v>
                </c:pt>
              </c:strCache>
            </c:strRef>
          </c:cat>
          <c:val>
            <c:numRef>
              <c:f>'Part B_cleaned sheet'!$AL$2:$AL$7</c:f>
              <c:numCache>
                <c:formatCode>General</c:formatCode>
                <c:ptCount val="5"/>
                <c:pt idx="0">
                  <c:v>43.899999999999984</c:v>
                </c:pt>
                <c:pt idx="1">
                  <c:v>25.906666666666663</c:v>
                </c:pt>
                <c:pt idx="2">
                  <c:v>60.352040816326522</c:v>
                </c:pt>
                <c:pt idx="3">
                  <c:v>32.259523809523799</c:v>
                </c:pt>
                <c:pt idx="4">
                  <c:v>36.762500000000003</c:v>
                </c:pt>
              </c:numCache>
            </c:numRef>
          </c:val>
          <c:extLst>
            <c:ext xmlns:c16="http://schemas.microsoft.com/office/drawing/2014/chart" uri="{C3380CC4-5D6E-409C-BE32-E72D297353CC}">
              <c16:uniqueId val="{00000000-1425-4BFA-A647-DA90A1E56AC9}"/>
            </c:ext>
          </c:extLst>
        </c:ser>
        <c:ser>
          <c:idx val="1"/>
          <c:order val="1"/>
          <c:tx>
            <c:strRef>
              <c:f>'Part B_cleaned sheet'!$AM$1</c:f>
              <c:strCache>
                <c:ptCount val="1"/>
                <c:pt idx="0">
                  <c:v>Sum of commute_minutes</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D-0790-4EE0-8822-E32BE5CB2030}"/>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F-0790-4EE0-8822-E32BE5CB2030}"/>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1-0790-4EE0-8822-E32BE5CB2030}"/>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3-0790-4EE0-8822-E32BE5CB2030}"/>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5-0790-4EE0-8822-E32BE5CB2030}"/>
              </c:ext>
            </c:extLst>
          </c:dPt>
          <c:dPt>
            <c:idx val="5"/>
            <c:invertIfNegative val="0"/>
            <c:bubble3D val="0"/>
            <c:extLst>
              <c:ext xmlns:c16="http://schemas.microsoft.com/office/drawing/2014/chart" uri="{C3380CC4-5D6E-409C-BE32-E72D297353CC}">
                <c16:uniqueId val="{00000017-0790-4EE0-8822-E32BE5CB2030}"/>
              </c:ext>
            </c:extLst>
          </c:dPt>
          <c:cat>
            <c:strRef>
              <c:f>'Part B_cleaned sheet'!$AK$2:$AK$7</c:f>
              <c:strCache>
                <c:ptCount val="5"/>
                <c:pt idx="0">
                  <c:v>alexandria</c:v>
                </c:pt>
                <c:pt idx="1">
                  <c:v>assiut</c:v>
                </c:pt>
                <c:pt idx="2">
                  <c:v>cairo</c:v>
                </c:pt>
                <c:pt idx="3">
                  <c:v>mansoura</c:v>
                </c:pt>
                <c:pt idx="4">
                  <c:v>menoufia</c:v>
                </c:pt>
              </c:strCache>
            </c:strRef>
          </c:cat>
          <c:val>
            <c:numRef>
              <c:f>'Part B_cleaned sheet'!$AM$2:$AM$7</c:f>
              <c:numCache>
                <c:formatCode>General</c:formatCode>
                <c:ptCount val="5"/>
                <c:pt idx="0">
                  <c:v>2282.7999999999993</c:v>
                </c:pt>
                <c:pt idx="1">
                  <c:v>777.19999999999993</c:v>
                </c:pt>
                <c:pt idx="2">
                  <c:v>5914.4999999999991</c:v>
                </c:pt>
                <c:pt idx="3">
                  <c:v>1354.8999999999996</c:v>
                </c:pt>
                <c:pt idx="4">
                  <c:v>1176.4000000000001</c:v>
                </c:pt>
              </c:numCache>
            </c:numRef>
          </c:val>
          <c:extLst>
            <c:ext xmlns:c16="http://schemas.microsoft.com/office/drawing/2014/chart" uri="{C3380CC4-5D6E-409C-BE32-E72D297353CC}">
              <c16:uniqueId val="{00000001-1425-4BFA-A647-DA90A1E56AC9}"/>
            </c:ext>
          </c:extLst>
        </c:ser>
        <c:dLbls>
          <c:showLegendKey val="0"/>
          <c:showVal val="0"/>
          <c:showCatName val="0"/>
          <c:showSerName val="0"/>
          <c:showPercent val="0"/>
          <c:showBubbleSize val="0"/>
        </c:dLbls>
        <c:gapWidth val="100"/>
        <c:axId val="26191760"/>
        <c:axId val="1891336159"/>
      </c:barChart>
      <c:valAx>
        <c:axId val="1891336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1760"/>
        <c:crossBetween val="between"/>
      </c:valAx>
      <c:catAx>
        <c:axId val="26191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336159"/>
        <c:auto val="1"/>
        <c:lblAlgn val="ctr"/>
        <c:lblOffset val="100"/>
        <c:noMultiLvlLbl val="0"/>
      </c:cat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476250</xdr:colOff>
      <xdr:row>12</xdr:row>
      <xdr:rowOff>123825</xdr:rowOff>
    </xdr:from>
    <xdr:ext cx="5715000" cy="35337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22</xdr:col>
      <xdr:colOff>386664</xdr:colOff>
      <xdr:row>13</xdr:row>
      <xdr:rowOff>71566</xdr:rowOff>
    </xdr:from>
    <xdr:ext cx="5715000" cy="3533775"/>
    <xdr:pic>
      <xdr:nvPicPr>
        <xdr:cNvPr id="445776732" name="Chart2" title="Chart">
          <a:extLst>
            <a:ext uri="{FF2B5EF4-FFF2-40B4-BE49-F238E27FC236}">
              <a16:creationId xmlns:a16="http://schemas.microsoft.com/office/drawing/2014/main" id="{00000000-0008-0000-0000-00005C03921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xfrm>
          <a:off x="20610556" y="2728269"/>
          <a:ext cx="5715000" cy="3533775"/>
        </a:xfrm>
        <a:prstGeom prst="rect">
          <a:avLst/>
        </a:prstGeom>
        <a:noFill/>
      </xdr:spPr>
    </xdr:pic>
    <xdr:clientData fLocksWithSheet="0"/>
  </xdr:oneCellAnchor>
  <xdr:oneCellAnchor>
    <xdr:from>
      <xdr:col>22</xdr:col>
      <xdr:colOff>815031</xdr:colOff>
      <xdr:row>35</xdr:row>
      <xdr:rowOff>103230</xdr:rowOff>
    </xdr:from>
    <xdr:ext cx="5715000" cy="3533775"/>
    <xdr:graphicFrame macro="">
      <xdr:nvGraphicFramePr>
        <xdr:cNvPr id="4" name="Chart 4"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17</xdr:col>
      <xdr:colOff>2086328</xdr:colOff>
      <xdr:row>61</xdr:row>
      <xdr:rowOff>66322</xdr:rowOff>
    </xdr:from>
    <xdr:ext cx="5715000" cy="3533775"/>
    <xdr:pic>
      <xdr:nvPicPr>
        <xdr:cNvPr id="1349939687" name="Chart5" title="Chart">
          <a:extLst>
            <a:ext uri="{FF2B5EF4-FFF2-40B4-BE49-F238E27FC236}">
              <a16:creationId xmlns:a16="http://schemas.microsoft.com/office/drawing/2014/main" id="{00000000-0008-0000-0000-0000E771765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xfrm>
          <a:off x="18060106" y="10790766"/>
          <a:ext cx="5715000" cy="3533775"/>
        </a:xfrm>
        <a:prstGeom prst="rect">
          <a:avLst/>
        </a:prstGeom>
        <a:noFill/>
      </xdr:spPr>
    </xdr:pic>
    <xdr:clientData fLocksWithSheet="0"/>
  </xdr:oneCellAnchor>
  <xdr:twoCellAnchor>
    <xdr:from>
      <xdr:col>15</xdr:col>
      <xdr:colOff>1212048</xdr:colOff>
      <xdr:row>36</xdr:row>
      <xdr:rowOff>69246</xdr:rowOff>
    </xdr:from>
    <xdr:to>
      <xdr:col>19</xdr:col>
      <xdr:colOff>146617</xdr:colOff>
      <xdr:row>51</xdr:row>
      <xdr:rowOff>36544</xdr:rowOff>
    </xdr:to>
    <xdr:graphicFrame macro="">
      <xdr:nvGraphicFramePr>
        <xdr:cNvPr id="7" name="Chart 6">
          <a:extLst>
            <a:ext uri="{FF2B5EF4-FFF2-40B4-BE49-F238E27FC236}">
              <a16:creationId xmlns:a16="http://schemas.microsoft.com/office/drawing/2014/main" id="{74AE3502-5217-B241-E877-028A0C0D2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e" refreshedDate="46279.745864930555" createdVersion="8" refreshedVersion="8" minRefreshableVersion="3" recordCount="261" xr:uid="{2085C547-B8E2-458A-913C-A6485C2F1B03}">
  <cacheSource type="worksheet">
    <worksheetSource ref="B1:G1048576" sheet="Part B_cleaned sheet"/>
  </cacheSource>
  <cacheFields count="6">
    <cacheField name="branch" numFmtId="0">
      <sharedItems containsBlank="1" count="6">
        <s v="assiut"/>
        <s v="alexandria"/>
        <s v="cairo"/>
        <s v="mansoura"/>
        <s v="menoufia"/>
        <m/>
      </sharedItems>
    </cacheField>
    <cacheField name="track" numFmtId="0">
      <sharedItems containsBlank="1"/>
    </cacheField>
    <cacheField name="gender" numFmtId="0">
      <sharedItems containsBlank="1"/>
    </cacheField>
    <cacheField name="age" numFmtId="0">
      <sharedItems containsString="0" containsBlank="1" containsNumber="1" containsInteger="1" minValue="20" maxValue="30"/>
    </cacheField>
    <cacheField name="study_hours_week" numFmtId="0">
      <sharedItems containsString="0" containsBlank="1" containsNumber="1" minValue="2" maxValue="30.8"/>
    </cacheField>
    <cacheField name="commute_minutes" numFmtId="0">
      <sharedItems containsString="0" containsBlank="1" containsNumber="1" minValue="5" maxValue="25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x v="0"/>
    <s v="web development"/>
    <s v="female"/>
    <n v="23"/>
    <n v="22.9"/>
    <n v="36.9"/>
  </r>
  <r>
    <x v="1"/>
    <s v="embedded systems"/>
    <s v="male"/>
    <n v="24"/>
    <n v="19.7"/>
    <n v="31.9"/>
  </r>
  <r>
    <x v="2"/>
    <s v="data science"/>
    <s v="female"/>
    <n v="23"/>
    <n v="14"/>
    <n v="51.7"/>
  </r>
  <r>
    <x v="3"/>
    <s v="embedded systems"/>
    <s v="female"/>
    <n v="23"/>
    <n v="14"/>
    <n v="23.3"/>
  </r>
  <r>
    <x v="2"/>
    <s v="data science"/>
    <s v="male"/>
    <n v="27"/>
    <n v="19.5"/>
    <n v="69.400000000000006"/>
  </r>
  <r>
    <x v="2"/>
    <s v="embedded systems"/>
    <s v="female"/>
    <n v="25"/>
    <n v="2"/>
    <n v="50.1"/>
  </r>
  <r>
    <x v="4"/>
    <s v="cyber security"/>
    <s v="female"/>
    <n v="23"/>
    <n v="15.6"/>
    <n v="20.2"/>
  </r>
  <r>
    <x v="1"/>
    <s v="cyber security"/>
    <s v="male"/>
    <n v="25"/>
    <n v="12.8"/>
    <n v="52.2"/>
  </r>
  <r>
    <x v="1"/>
    <s v="web development"/>
    <s v="female"/>
    <n v="26"/>
    <n v="19.100000000000001"/>
    <n v="34.799999999999997"/>
  </r>
  <r>
    <x v="4"/>
    <s v="data science"/>
    <s v="male"/>
    <n v="28"/>
    <n v="9.3000000000000007"/>
    <n v="26"/>
  </r>
  <r>
    <x v="4"/>
    <s v="cyber security"/>
    <s v="female"/>
    <n v="21"/>
    <n v="12.5"/>
    <n v="15.8"/>
  </r>
  <r>
    <x v="3"/>
    <s v="embedded systems"/>
    <s v="female"/>
    <n v="20"/>
    <n v="15.7"/>
    <n v="10.9"/>
  </r>
  <r>
    <x v="0"/>
    <s v="data science"/>
    <s v="male"/>
    <m/>
    <n v="18.600000000000001"/>
    <n v="25.9"/>
  </r>
  <r>
    <x v="2"/>
    <s v="web development"/>
    <s v="female"/>
    <n v="23"/>
    <n v="19.7"/>
    <n v="105.8"/>
  </r>
  <r>
    <x v="2"/>
    <s v="data science"/>
    <s v="female"/>
    <n v="25"/>
    <n v="16.100000000000001"/>
    <n v="87.6"/>
  </r>
  <r>
    <x v="3"/>
    <s v="data science"/>
    <s v="female"/>
    <n v="23"/>
    <n v="7"/>
    <n v="12.1"/>
  </r>
  <r>
    <x v="1"/>
    <s v="embedded systems"/>
    <s v="male"/>
    <m/>
    <n v="16.7"/>
    <n v="14.7"/>
  </r>
  <r>
    <x v="4"/>
    <s v="data science"/>
    <s v="female"/>
    <n v="24"/>
    <n v="25.7"/>
    <n v="10.8"/>
  </r>
  <r>
    <x v="4"/>
    <s v="data science"/>
    <s v="female"/>
    <n v="23"/>
    <n v="15.6"/>
    <n v="22.4"/>
  </r>
  <r>
    <x v="2"/>
    <s v="data science"/>
    <s v="female"/>
    <n v="26"/>
    <n v="23.1"/>
    <n v="36.5"/>
  </r>
  <r>
    <x v="2"/>
    <s v="web development"/>
    <s v="female"/>
    <n v="26"/>
    <m/>
    <n v="9"/>
  </r>
  <r>
    <x v="3"/>
    <s v="web development"/>
    <s v="female"/>
    <n v="24"/>
    <n v="11.7"/>
    <n v="32.9"/>
  </r>
  <r>
    <x v="1"/>
    <s v="web development"/>
    <s v="male"/>
    <n v="20"/>
    <n v="2"/>
    <n v="25.2"/>
  </r>
  <r>
    <x v="2"/>
    <s v="ui/ux"/>
    <s v="male"/>
    <n v="25"/>
    <n v="9.1999999999999993"/>
    <n v="89.5"/>
  </r>
  <r>
    <x v="2"/>
    <s v="cyber security"/>
    <s v="male"/>
    <n v="23"/>
    <n v="21.5"/>
    <n v="59.6"/>
  </r>
  <r>
    <x v="2"/>
    <s v="web development"/>
    <s v="female"/>
    <n v="25"/>
    <n v="16.399999999999999"/>
    <n v="39.200000000000003"/>
  </r>
  <r>
    <x v="2"/>
    <s v="data science"/>
    <s v="male"/>
    <n v="23"/>
    <n v="14.7"/>
    <n v="54.8"/>
  </r>
  <r>
    <x v="2"/>
    <s v="web development"/>
    <s v="female"/>
    <n v="24"/>
    <n v="19"/>
    <n v="133.69999999999999"/>
  </r>
  <r>
    <x v="2"/>
    <s v="web development"/>
    <s v="male"/>
    <n v="23"/>
    <n v="17.100000000000001"/>
    <n v="46.4"/>
  </r>
  <r>
    <x v="1"/>
    <s v="web development"/>
    <s v="female"/>
    <n v="22"/>
    <n v="19.5"/>
    <n v="110.8"/>
  </r>
  <r>
    <x v="4"/>
    <s v="web development"/>
    <s v="male"/>
    <n v="24"/>
    <n v="21.5"/>
    <n v="8.4"/>
  </r>
  <r>
    <x v="3"/>
    <s v="data science"/>
    <s v="male"/>
    <n v="28"/>
    <n v="14.4"/>
    <n v="29.4"/>
  </r>
  <r>
    <x v="3"/>
    <s v="data science"/>
    <s v="male"/>
    <n v="20"/>
    <n v="17.7"/>
    <n v="43.8"/>
  </r>
  <r>
    <x v="1"/>
    <s v="cyber security"/>
    <s v="male"/>
    <n v="21"/>
    <n v="14.8"/>
    <n v="9.6999999999999993"/>
  </r>
  <r>
    <x v="3"/>
    <s v="cyber security"/>
    <s v="male"/>
    <n v="22"/>
    <n v="18.2"/>
    <n v="16.100000000000001"/>
  </r>
  <r>
    <x v="1"/>
    <s v="web development"/>
    <s v="male"/>
    <n v="25"/>
    <n v="20.5"/>
    <m/>
  </r>
  <r>
    <x v="2"/>
    <s v="web development"/>
    <s v="female"/>
    <n v="20"/>
    <n v="13.8"/>
    <n v="43"/>
  </r>
  <r>
    <x v="2"/>
    <s v="cyber security"/>
    <s v="male"/>
    <n v="24"/>
    <n v="14"/>
    <n v="30.2"/>
  </r>
  <r>
    <x v="2"/>
    <s v="data science"/>
    <s v="male"/>
    <n v="21"/>
    <n v="16.5"/>
    <n v="34.1"/>
  </r>
  <r>
    <x v="2"/>
    <s v="embedded systems"/>
    <s v="male"/>
    <n v="23"/>
    <n v="20.5"/>
    <n v="62.9"/>
  </r>
  <r>
    <x v="3"/>
    <s v="cyber security"/>
    <s v="female"/>
    <n v="23"/>
    <n v="16.5"/>
    <n v="66.599999999999994"/>
  </r>
  <r>
    <x v="4"/>
    <s v="data science"/>
    <s v="female"/>
    <n v="20"/>
    <n v="21.2"/>
    <n v="30.1"/>
  </r>
  <r>
    <x v="1"/>
    <s v="data science"/>
    <s v="male"/>
    <n v="25"/>
    <n v="27.4"/>
    <n v="66.400000000000006"/>
  </r>
  <r>
    <x v="1"/>
    <s v="cyber security"/>
    <s v="male"/>
    <n v="26"/>
    <n v="20.7"/>
    <n v="11.8"/>
  </r>
  <r>
    <x v="2"/>
    <s v="web development"/>
    <s v="female"/>
    <n v="25"/>
    <n v="17.399999999999999"/>
    <n v="26.1"/>
  </r>
  <r>
    <x v="2"/>
    <s v="embedded systems"/>
    <s v="male"/>
    <n v="25"/>
    <n v="12.4"/>
    <n v="71.599999999999994"/>
  </r>
  <r>
    <x v="1"/>
    <s v="embedded systems"/>
    <s v="male"/>
    <n v="20"/>
    <n v="11.3"/>
    <n v="27.9"/>
  </r>
  <r>
    <x v="2"/>
    <s v="ui/ux"/>
    <s v="male"/>
    <n v="22"/>
    <n v="16.5"/>
    <n v="43.3"/>
  </r>
  <r>
    <x v="1"/>
    <s v="data science"/>
    <s v="female"/>
    <n v="24"/>
    <n v="8.1"/>
    <n v="35"/>
  </r>
  <r>
    <x v="2"/>
    <s v="data science"/>
    <s v="male"/>
    <n v="27"/>
    <n v="21.9"/>
    <n v="22.8"/>
  </r>
  <r>
    <x v="2"/>
    <s v="ui/ux"/>
    <s v="female"/>
    <n v="24"/>
    <n v="13.7"/>
    <n v="111.7"/>
  </r>
  <r>
    <x v="3"/>
    <s v="data science"/>
    <s v="male"/>
    <n v="22"/>
    <n v="21"/>
    <n v="21.1"/>
  </r>
  <r>
    <x v="1"/>
    <s v="web development"/>
    <s v="male"/>
    <n v="24"/>
    <n v="19.5"/>
    <n v="36.4"/>
  </r>
  <r>
    <x v="2"/>
    <s v="data science"/>
    <s v="female"/>
    <n v="22"/>
    <n v="6.4"/>
    <n v="17.100000000000001"/>
  </r>
  <r>
    <x v="2"/>
    <s v="data science"/>
    <s v="female"/>
    <n v="22"/>
    <n v="23.2"/>
    <n v="33"/>
  </r>
  <r>
    <x v="2"/>
    <s v="data science"/>
    <s v="female"/>
    <n v="21"/>
    <n v="22.8"/>
    <n v="142.30000000000001"/>
  </r>
  <r>
    <x v="4"/>
    <s v="data science"/>
    <s v="male"/>
    <n v="23"/>
    <n v="22.8"/>
    <n v="16.100000000000001"/>
  </r>
  <r>
    <x v="1"/>
    <s v="web development"/>
    <s v="male"/>
    <n v="28"/>
    <n v="8.6999999999999993"/>
    <n v="63.8"/>
  </r>
  <r>
    <x v="1"/>
    <s v="web development"/>
    <s v="female"/>
    <n v="22"/>
    <n v="15"/>
    <n v="68.2"/>
  </r>
  <r>
    <x v="1"/>
    <s v="data science"/>
    <s v="female"/>
    <n v="24"/>
    <n v="17.8"/>
    <n v="25.1"/>
  </r>
  <r>
    <x v="0"/>
    <s v="data science"/>
    <s v="male"/>
    <n v="28"/>
    <n v="27.4"/>
    <m/>
  </r>
  <r>
    <x v="4"/>
    <s v="ui/ux"/>
    <s v="female"/>
    <n v="24"/>
    <n v="8"/>
    <n v="16.8"/>
  </r>
  <r>
    <x v="2"/>
    <s v="data science"/>
    <s v="male"/>
    <n v="21"/>
    <n v="23.7"/>
    <n v="37.9"/>
  </r>
  <r>
    <x v="3"/>
    <s v="embedded systems"/>
    <s v="male"/>
    <n v="23"/>
    <n v="23.3"/>
    <n v="33.200000000000003"/>
  </r>
  <r>
    <x v="0"/>
    <s v="embedded systems"/>
    <s v="male"/>
    <n v="24"/>
    <n v="15.2"/>
    <n v="24"/>
  </r>
  <r>
    <x v="1"/>
    <s v="web development"/>
    <s v="male"/>
    <n v="21"/>
    <n v="14.5"/>
    <n v="13.2"/>
  </r>
  <r>
    <x v="3"/>
    <s v="ui/ux"/>
    <s v="male"/>
    <n v="20"/>
    <n v="17.100000000000001"/>
    <n v="17.600000000000001"/>
  </r>
  <r>
    <x v="0"/>
    <s v="data science"/>
    <s v="male"/>
    <n v="23"/>
    <n v="24.3"/>
    <n v="5"/>
  </r>
  <r>
    <x v="3"/>
    <s v="embedded systems"/>
    <s v="male"/>
    <n v="21"/>
    <n v="24.4"/>
    <n v="190.2"/>
  </r>
  <r>
    <x v="4"/>
    <s v="web development"/>
    <s v="male"/>
    <n v="24"/>
    <n v="21.8"/>
    <n v="105.1"/>
  </r>
  <r>
    <x v="1"/>
    <s v="data science"/>
    <s v="female"/>
    <n v="25"/>
    <n v="23.8"/>
    <n v="25.9"/>
  </r>
  <r>
    <x v="2"/>
    <s v="data science"/>
    <s v="male"/>
    <n v="20"/>
    <n v="16.100000000000001"/>
    <n v="55.7"/>
  </r>
  <r>
    <x v="4"/>
    <s v="ui/ux"/>
    <s v="female"/>
    <n v="22"/>
    <n v="18.100000000000001"/>
    <n v="59.3"/>
  </r>
  <r>
    <x v="4"/>
    <s v="data science"/>
    <s v="male"/>
    <n v="25"/>
    <n v="16.600000000000001"/>
    <n v="44.1"/>
  </r>
  <r>
    <x v="2"/>
    <s v="ui/ux"/>
    <s v="male"/>
    <n v="24"/>
    <n v="16.5"/>
    <n v="83"/>
  </r>
  <r>
    <x v="3"/>
    <s v="ui/ux"/>
    <s v="male"/>
    <n v="26"/>
    <n v="18.8"/>
    <n v="32.6"/>
  </r>
  <r>
    <x v="4"/>
    <s v="cyber security"/>
    <s v="male"/>
    <n v="22"/>
    <n v="19.3"/>
    <n v="209.8"/>
  </r>
  <r>
    <x v="3"/>
    <s v="embedded systems"/>
    <s v="male"/>
    <n v="25"/>
    <n v="24.7"/>
    <n v="34.1"/>
  </r>
  <r>
    <x v="0"/>
    <s v="data science"/>
    <s v="male"/>
    <n v="22"/>
    <m/>
    <n v="58.4"/>
  </r>
  <r>
    <x v="1"/>
    <s v="data science"/>
    <s v="male"/>
    <n v="24"/>
    <n v="19.399999999999999"/>
    <n v="12.8"/>
  </r>
  <r>
    <x v="1"/>
    <s v="ui/ux"/>
    <s v="female"/>
    <n v="24"/>
    <n v="17.899999999999999"/>
    <n v="45.4"/>
  </r>
  <r>
    <x v="3"/>
    <s v="cyber security"/>
    <s v="male"/>
    <n v="29"/>
    <n v="6.8"/>
    <n v="17"/>
  </r>
  <r>
    <x v="2"/>
    <s v="data science"/>
    <s v="male"/>
    <m/>
    <n v="16.3"/>
    <n v="62.4"/>
  </r>
  <r>
    <x v="1"/>
    <s v="web development"/>
    <s v="male"/>
    <n v="28"/>
    <n v="11"/>
    <n v="78"/>
  </r>
  <r>
    <x v="1"/>
    <s v="embedded systems"/>
    <s v="male"/>
    <n v="23"/>
    <n v="23.6"/>
    <n v="21.1"/>
  </r>
  <r>
    <x v="2"/>
    <s v="data science"/>
    <s v="male"/>
    <n v="25"/>
    <n v="14.1"/>
    <n v="73.2"/>
  </r>
  <r>
    <x v="2"/>
    <s v="web development"/>
    <s v="female"/>
    <n v="24"/>
    <n v="11"/>
    <n v="17.5"/>
  </r>
  <r>
    <x v="0"/>
    <s v="cyber security"/>
    <s v="female"/>
    <n v="23"/>
    <n v="15.6"/>
    <n v="8.4"/>
  </r>
  <r>
    <x v="2"/>
    <s v="data science"/>
    <s v="male"/>
    <n v="23"/>
    <n v="12.3"/>
    <n v="39.200000000000003"/>
  </r>
  <r>
    <x v="4"/>
    <s v="cyber security"/>
    <s v="male"/>
    <n v="21"/>
    <n v="12.8"/>
    <n v="23.7"/>
  </r>
  <r>
    <x v="2"/>
    <s v="data science"/>
    <s v="male"/>
    <n v="25"/>
    <n v="25"/>
    <n v="31.4"/>
  </r>
  <r>
    <x v="2"/>
    <s v="embedded systems"/>
    <s v="female"/>
    <n v="20"/>
    <n v="21.2"/>
    <n v="200"/>
  </r>
  <r>
    <x v="4"/>
    <s v="ui/ux"/>
    <s v="female"/>
    <n v="20"/>
    <n v="16.8"/>
    <n v="29.1"/>
  </r>
  <r>
    <x v="0"/>
    <s v="embedded systems"/>
    <s v="female"/>
    <m/>
    <n v="22.3"/>
    <n v="70"/>
  </r>
  <r>
    <x v="1"/>
    <s v="web development"/>
    <s v="male"/>
    <n v="20"/>
    <n v="20.5"/>
    <n v="25.9"/>
  </r>
  <r>
    <x v="3"/>
    <s v="data science"/>
    <s v="female"/>
    <n v="23"/>
    <n v="17.8"/>
    <n v="28.4"/>
  </r>
  <r>
    <x v="3"/>
    <s v="data science"/>
    <s v="female"/>
    <n v="21"/>
    <n v="11.9"/>
    <n v="14.7"/>
  </r>
  <r>
    <x v="2"/>
    <s v="data science"/>
    <s v="female"/>
    <n v="21"/>
    <n v="16.8"/>
    <m/>
  </r>
  <r>
    <x v="2"/>
    <s v="cyber security"/>
    <s v="female"/>
    <n v="23"/>
    <n v="11.8"/>
    <n v="27.9"/>
  </r>
  <r>
    <x v="0"/>
    <s v="data science"/>
    <s v="male"/>
    <n v="22"/>
    <n v="15.7"/>
    <n v="11.1"/>
  </r>
  <r>
    <x v="4"/>
    <s v="data science"/>
    <s v="male"/>
    <n v="27"/>
    <n v="24.8"/>
    <n v="29.3"/>
  </r>
  <r>
    <x v="2"/>
    <s v="data science"/>
    <s v="male"/>
    <n v="25"/>
    <n v="14.4"/>
    <n v="67"/>
  </r>
  <r>
    <x v="4"/>
    <s v="web development"/>
    <s v="male"/>
    <n v="21"/>
    <n v="15.1"/>
    <n v="53.8"/>
  </r>
  <r>
    <x v="2"/>
    <s v="cyber security"/>
    <s v="male"/>
    <n v="21"/>
    <n v="12.9"/>
    <n v="29.6"/>
  </r>
  <r>
    <x v="2"/>
    <s v="embedded systems"/>
    <s v="female"/>
    <n v="22"/>
    <n v="15.3"/>
    <n v="17.8"/>
  </r>
  <r>
    <x v="2"/>
    <s v="data science"/>
    <s v="female"/>
    <n v="24"/>
    <n v="25.8"/>
    <n v="256.5"/>
  </r>
  <r>
    <x v="2"/>
    <s v="ui/ux"/>
    <s v="female"/>
    <n v="24"/>
    <n v="13.1"/>
    <n v="25.1"/>
  </r>
  <r>
    <x v="1"/>
    <s v="embedded systems"/>
    <s v="male"/>
    <n v="21"/>
    <n v="17.399999999999999"/>
    <n v="64.099999999999994"/>
  </r>
  <r>
    <x v="2"/>
    <s v="embedded systems"/>
    <s v="male"/>
    <n v="26"/>
    <n v="14.2"/>
    <n v="121.4"/>
  </r>
  <r>
    <x v="1"/>
    <s v="web development"/>
    <s v="female"/>
    <n v="25"/>
    <n v="25.9"/>
    <n v="22.4"/>
  </r>
  <r>
    <x v="2"/>
    <s v="data science"/>
    <s v="male"/>
    <n v="23"/>
    <m/>
    <n v="46.4"/>
  </r>
  <r>
    <x v="0"/>
    <s v="data science"/>
    <s v="female"/>
    <n v="24"/>
    <m/>
    <n v="29.8"/>
  </r>
  <r>
    <x v="3"/>
    <s v="web development"/>
    <s v="female"/>
    <n v="20"/>
    <n v="16.8"/>
    <n v="25"/>
  </r>
  <r>
    <x v="4"/>
    <s v="data science"/>
    <s v="male"/>
    <n v="23"/>
    <n v="9.5"/>
    <n v="43.9"/>
  </r>
  <r>
    <x v="3"/>
    <s v="web development"/>
    <s v="female"/>
    <n v="20"/>
    <n v="9.3000000000000007"/>
    <n v="31"/>
  </r>
  <r>
    <x v="3"/>
    <s v="cyber security"/>
    <s v="male"/>
    <n v="28"/>
    <m/>
    <n v="18.8"/>
  </r>
  <r>
    <x v="0"/>
    <s v="web development"/>
    <s v="male"/>
    <n v="21"/>
    <n v="20.3"/>
    <n v="50"/>
  </r>
  <r>
    <x v="2"/>
    <s v="cyber security"/>
    <s v="female"/>
    <n v="21"/>
    <n v="20.399999999999999"/>
    <n v="120.2"/>
  </r>
  <r>
    <x v="3"/>
    <s v="data science"/>
    <s v="female"/>
    <n v="29"/>
    <n v="18.8"/>
    <n v="16.2"/>
  </r>
  <r>
    <x v="2"/>
    <s v="cyber security"/>
    <s v="female"/>
    <n v="23"/>
    <n v="25.2"/>
    <n v="25.6"/>
  </r>
  <r>
    <x v="4"/>
    <s v="web development"/>
    <s v="female"/>
    <n v="24"/>
    <n v="12.4"/>
    <n v="15.6"/>
  </r>
  <r>
    <x v="0"/>
    <s v="data science"/>
    <s v="female"/>
    <n v="29"/>
    <n v="25.1"/>
    <n v="5"/>
  </r>
  <r>
    <x v="1"/>
    <s v="cyber security"/>
    <s v="male"/>
    <n v="21"/>
    <n v="21.7"/>
    <n v="13.1"/>
  </r>
  <r>
    <x v="0"/>
    <s v="data science"/>
    <s v="female"/>
    <n v="21"/>
    <n v="14.1"/>
    <n v="18.5"/>
  </r>
  <r>
    <x v="2"/>
    <s v="data science"/>
    <s v="female"/>
    <n v="23"/>
    <n v="12.7"/>
    <n v="11.6"/>
  </r>
  <r>
    <x v="4"/>
    <s v="ui/ux"/>
    <s v="male"/>
    <n v="28"/>
    <n v="16.399999999999999"/>
    <n v="25.5"/>
  </r>
  <r>
    <x v="3"/>
    <s v="web development"/>
    <s v="male"/>
    <n v="21"/>
    <n v="9.8000000000000007"/>
    <n v="9.8000000000000007"/>
  </r>
  <r>
    <x v="2"/>
    <s v="embedded systems"/>
    <s v="male"/>
    <n v="25"/>
    <n v="20.8"/>
    <n v="9.8000000000000007"/>
  </r>
  <r>
    <x v="0"/>
    <s v="data science"/>
    <s v="male"/>
    <n v="23"/>
    <n v="18.5"/>
    <n v="15.6"/>
  </r>
  <r>
    <x v="2"/>
    <s v="cyber security"/>
    <s v="female"/>
    <n v="24"/>
    <n v="18.600000000000001"/>
    <n v="74.900000000000006"/>
  </r>
  <r>
    <x v="2"/>
    <s v="web development"/>
    <s v="female"/>
    <n v="23"/>
    <n v="17.600000000000001"/>
    <n v="23.1"/>
  </r>
  <r>
    <x v="2"/>
    <s v="web development"/>
    <s v="female"/>
    <n v="25"/>
    <m/>
    <n v="13.7"/>
  </r>
  <r>
    <x v="3"/>
    <s v="embedded systems"/>
    <s v="female"/>
    <n v="23"/>
    <n v="12.6"/>
    <n v="21"/>
  </r>
  <r>
    <x v="0"/>
    <s v="ui/ux"/>
    <s v="male"/>
    <n v="23"/>
    <n v="12.3"/>
    <n v="17.399999999999999"/>
  </r>
  <r>
    <x v="2"/>
    <s v="cyber security"/>
    <s v="male"/>
    <n v="23"/>
    <n v="23.1"/>
    <n v="89.2"/>
  </r>
  <r>
    <x v="2"/>
    <s v="embedded systems"/>
    <s v="male"/>
    <n v="26"/>
    <n v="23.3"/>
    <n v="191.9"/>
  </r>
  <r>
    <x v="1"/>
    <s v="embedded systems"/>
    <s v="male"/>
    <n v="25"/>
    <n v="10.4"/>
    <n v="39.5"/>
  </r>
  <r>
    <x v="4"/>
    <s v="web development"/>
    <s v="female"/>
    <n v="20"/>
    <n v="21"/>
    <n v="15"/>
  </r>
  <r>
    <x v="1"/>
    <s v="web development"/>
    <s v="male"/>
    <n v="24"/>
    <n v="17.899999999999999"/>
    <n v="30.2"/>
  </r>
  <r>
    <x v="0"/>
    <s v="web development"/>
    <s v="female"/>
    <n v="24"/>
    <n v="12.9"/>
    <n v="24.1"/>
  </r>
  <r>
    <x v="3"/>
    <s v="data science"/>
    <s v="female"/>
    <n v="20"/>
    <n v="14.3"/>
    <n v="5.4"/>
  </r>
  <r>
    <x v="2"/>
    <s v="ui/ux"/>
    <s v="male"/>
    <n v="22"/>
    <n v="8.5"/>
    <n v="29.6"/>
  </r>
  <r>
    <x v="4"/>
    <s v="data science"/>
    <s v="female"/>
    <n v="24"/>
    <n v="21.9"/>
    <n v="23"/>
  </r>
  <r>
    <x v="3"/>
    <s v="web development"/>
    <s v="female"/>
    <n v="20"/>
    <n v="23.4"/>
    <n v="28.5"/>
  </r>
  <r>
    <x v="3"/>
    <s v="cyber security"/>
    <s v="male"/>
    <n v="22"/>
    <n v="3.2"/>
    <n v="34.299999999999997"/>
  </r>
  <r>
    <x v="0"/>
    <s v="web development"/>
    <s v="female"/>
    <n v="23"/>
    <n v="12.7"/>
    <n v="30.4"/>
  </r>
  <r>
    <x v="3"/>
    <s v="ui/ux"/>
    <s v="female"/>
    <n v="24"/>
    <n v="8.8000000000000007"/>
    <n v="39.9"/>
  </r>
  <r>
    <x v="1"/>
    <s v="ui/ux"/>
    <s v="male"/>
    <n v="27"/>
    <n v="11.6"/>
    <m/>
  </r>
  <r>
    <x v="4"/>
    <s v="web development"/>
    <s v="male"/>
    <m/>
    <n v="15.7"/>
    <n v="52.6"/>
  </r>
  <r>
    <x v="2"/>
    <s v="cyber security"/>
    <s v="male"/>
    <n v="24"/>
    <n v="18.399999999999999"/>
    <n v="70.599999999999994"/>
  </r>
  <r>
    <x v="2"/>
    <s v="data science"/>
    <s v="female"/>
    <n v="20"/>
    <n v="18.600000000000001"/>
    <n v="44.3"/>
  </r>
  <r>
    <x v="2"/>
    <s v="data science"/>
    <s v="male"/>
    <n v="21"/>
    <n v="9.8000000000000007"/>
    <n v="176"/>
  </r>
  <r>
    <x v="0"/>
    <s v="web development"/>
    <s v="female"/>
    <n v="25"/>
    <n v="18.100000000000001"/>
    <n v="44.5"/>
  </r>
  <r>
    <x v="1"/>
    <s v="ui/ux"/>
    <s v="male"/>
    <n v="26"/>
    <n v="17"/>
    <n v="19.399999999999999"/>
  </r>
  <r>
    <x v="2"/>
    <s v="ui/ux"/>
    <s v="female"/>
    <n v="25"/>
    <n v="5.0999999999999996"/>
    <n v="154"/>
  </r>
  <r>
    <x v="1"/>
    <s v="ui/ux"/>
    <s v="female"/>
    <n v="25"/>
    <n v="7.5"/>
    <n v="95.1"/>
  </r>
  <r>
    <x v="2"/>
    <s v="cyber security"/>
    <s v="female"/>
    <n v="28"/>
    <n v="18.100000000000001"/>
    <n v="37.200000000000003"/>
  </r>
  <r>
    <x v="0"/>
    <s v="ui/ux"/>
    <s v="male"/>
    <n v="22"/>
    <n v="4.5"/>
    <n v="11"/>
  </r>
  <r>
    <x v="2"/>
    <s v="data science"/>
    <s v="male"/>
    <n v="25"/>
    <n v="18.3"/>
    <n v="43.8"/>
  </r>
  <r>
    <x v="1"/>
    <s v="data science"/>
    <s v="male"/>
    <n v="26"/>
    <n v="23.4"/>
    <n v="61.7"/>
  </r>
  <r>
    <x v="2"/>
    <s v="web development"/>
    <s v="male"/>
    <n v="23"/>
    <n v="12.1"/>
    <n v="53.6"/>
  </r>
  <r>
    <x v="0"/>
    <s v="data science"/>
    <s v="male"/>
    <n v="20"/>
    <n v="17.600000000000001"/>
    <n v="21.8"/>
  </r>
  <r>
    <x v="1"/>
    <s v="cyber security"/>
    <s v="male"/>
    <n v="23"/>
    <n v="18.100000000000001"/>
    <n v="43.1"/>
  </r>
  <r>
    <x v="2"/>
    <s v="web development"/>
    <s v="female"/>
    <n v="24"/>
    <n v="20.8"/>
    <n v="33.1"/>
  </r>
  <r>
    <x v="4"/>
    <s v="data science"/>
    <s v="female"/>
    <n v="28"/>
    <n v="3.1"/>
    <n v="19.7"/>
  </r>
  <r>
    <x v="2"/>
    <s v="embedded systems"/>
    <s v="female"/>
    <n v="23"/>
    <n v="17.899999999999999"/>
    <n v="18.7"/>
  </r>
  <r>
    <x v="1"/>
    <s v="cyber security"/>
    <s v="male"/>
    <m/>
    <n v="20.2"/>
    <n v="104.5"/>
  </r>
  <r>
    <x v="1"/>
    <s v="ui/ux"/>
    <s v="female"/>
    <n v="20"/>
    <n v="17.8"/>
    <n v="15.2"/>
  </r>
  <r>
    <x v="1"/>
    <s v="web development"/>
    <s v="male"/>
    <n v="26"/>
    <n v="13.1"/>
    <n v="63.8"/>
  </r>
  <r>
    <x v="0"/>
    <s v="web development"/>
    <s v="female"/>
    <n v="24"/>
    <n v="21.6"/>
    <n v="21.3"/>
  </r>
  <r>
    <x v="1"/>
    <s v="ui/ux"/>
    <s v="male"/>
    <n v="25"/>
    <n v="6.8"/>
    <n v="62"/>
  </r>
  <r>
    <x v="1"/>
    <s v="data science"/>
    <s v="male"/>
    <n v="23"/>
    <n v="15.3"/>
    <n v="26.6"/>
  </r>
  <r>
    <x v="2"/>
    <s v="ui/ux"/>
    <s v="male"/>
    <n v="22"/>
    <n v="12.2"/>
    <n v="44.8"/>
  </r>
  <r>
    <x v="3"/>
    <s v="data science"/>
    <s v="male"/>
    <n v="21"/>
    <n v="10.5"/>
    <n v="79.7"/>
  </r>
  <r>
    <x v="3"/>
    <s v="cyber security"/>
    <s v="male"/>
    <n v="24"/>
    <n v="11.6"/>
    <n v="46"/>
  </r>
  <r>
    <x v="2"/>
    <s v="data science"/>
    <s v="female"/>
    <n v="25"/>
    <n v="19"/>
    <n v="132"/>
  </r>
  <r>
    <x v="2"/>
    <s v="embedded systems"/>
    <s v="male"/>
    <n v="23"/>
    <n v="9.5"/>
    <n v="18"/>
  </r>
  <r>
    <x v="2"/>
    <s v="web development"/>
    <s v="female"/>
    <n v="25"/>
    <n v="20.2"/>
    <n v="42.6"/>
  </r>
  <r>
    <x v="0"/>
    <s v="embedded systems"/>
    <s v="male"/>
    <n v="24"/>
    <n v="15.6"/>
    <n v="34.299999999999997"/>
  </r>
  <r>
    <x v="1"/>
    <s v="data science"/>
    <s v="male"/>
    <n v="23"/>
    <n v="6.8"/>
    <n v="18.100000000000001"/>
  </r>
  <r>
    <x v="2"/>
    <s v="cyber security"/>
    <s v="female"/>
    <n v="23"/>
    <n v="24.2"/>
    <n v="74.400000000000006"/>
  </r>
  <r>
    <x v="1"/>
    <s v="embedded systems"/>
    <s v="female"/>
    <n v="28"/>
    <n v="30.8"/>
    <n v="19.5"/>
  </r>
  <r>
    <x v="4"/>
    <s v="web development"/>
    <s v="female"/>
    <n v="28"/>
    <n v="18.8"/>
    <n v="29.5"/>
  </r>
  <r>
    <x v="0"/>
    <s v="data science"/>
    <s v="male"/>
    <n v="22"/>
    <n v="11.3"/>
    <n v="11.8"/>
  </r>
  <r>
    <x v="1"/>
    <s v="data science"/>
    <s v="male"/>
    <n v="26"/>
    <n v="15.5"/>
    <n v="68.8"/>
  </r>
  <r>
    <x v="3"/>
    <s v="web development"/>
    <s v="male"/>
    <n v="27"/>
    <n v="23.8"/>
    <n v="32.6"/>
  </r>
  <r>
    <x v="3"/>
    <s v="web development"/>
    <s v="female"/>
    <n v="23"/>
    <n v="12.2"/>
    <n v="58.2"/>
  </r>
  <r>
    <x v="4"/>
    <s v="embedded systems"/>
    <s v="female"/>
    <n v="23"/>
    <n v="17.2"/>
    <n v="29.5"/>
  </r>
  <r>
    <x v="2"/>
    <s v="embedded systems"/>
    <s v="male"/>
    <n v="21"/>
    <n v="18.3"/>
    <n v="66.400000000000006"/>
  </r>
  <r>
    <x v="0"/>
    <s v="web development"/>
    <s v="female"/>
    <n v="23"/>
    <n v="19.600000000000001"/>
    <n v="26.1"/>
  </r>
  <r>
    <x v="2"/>
    <s v="web development"/>
    <s v="female"/>
    <n v="27"/>
    <n v="27.8"/>
    <n v="38.1"/>
  </r>
  <r>
    <x v="3"/>
    <s v="data science"/>
    <s v="male"/>
    <n v="26"/>
    <n v="12.9"/>
    <m/>
  </r>
  <r>
    <x v="0"/>
    <s v="data science"/>
    <s v="male"/>
    <n v="24"/>
    <n v="15.1"/>
    <n v="6.3"/>
  </r>
  <r>
    <x v="2"/>
    <s v="ui/ux"/>
    <s v="female"/>
    <n v="21"/>
    <n v="12.5"/>
    <n v="37.200000000000003"/>
  </r>
  <r>
    <x v="2"/>
    <s v="ui/ux"/>
    <s v="female"/>
    <m/>
    <n v="21.1"/>
    <m/>
  </r>
  <r>
    <x v="2"/>
    <s v="data science"/>
    <s v="female"/>
    <n v="24"/>
    <n v="17.399999999999999"/>
    <n v="66.8"/>
  </r>
  <r>
    <x v="1"/>
    <s v="web development"/>
    <s v="male"/>
    <n v="26"/>
    <n v="8.9"/>
    <n v="63.3"/>
  </r>
  <r>
    <x v="3"/>
    <s v="ui/ux"/>
    <s v="female"/>
    <n v="25"/>
    <n v="14.7"/>
    <n v="13.6"/>
  </r>
  <r>
    <x v="2"/>
    <s v="embedded systems"/>
    <s v="male"/>
    <n v="21"/>
    <n v="21.2"/>
    <n v="16.100000000000001"/>
  </r>
  <r>
    <x v="4"/>
    <s v="web development"/>
    <s v="male"/>
    <n v="25"/>
    <n v="19.899999999999999"/>
    <n v="17.2"/>
  </r>
  <r>
    <x v="3"/>
    <s v="ui/ux"/>
    <s v="female"/>
    <n v="23"/>
    <n v="13.7"/>
    <n v="13.7"/>
  </r>
  <r>
    <x v="1"/>
    <s v="ui/ux"/>
    <s v="male"/>
    <n v="24"/>
    <n v="17"/>
    <n v="238.9"/>
  </r>
  <r>
    <x v="1"/>
    <s v="web development"/>
    <s v="male"/>
    <n v="23"/>
    <m/>
    <n v="35.200000000000003"/>
  </r>
  <r>
    <x v="2"/>
    <s v="ui/ux"/>
    <s v="female"/>
    <n v="23"/>
    <n v="11.4"/>
    <n v="16.600000000000001"/>
  </r>
  <r>
    <x v="2"/>
    <s v="web development"/>
    <s v="male"/>
    <n v="22"/>
    <n v="16.8"/>
    <n v="27.7"/>
  </r>
  <r>
    <x v="1"/>
    <s v="web development"/>
    <s v="male"/>
    <n v="26"/>
    <n v="21"/>
    <n v="48"/>
  </r>
  <r>
    <x v="2"/>
    <s v="cyber security"/>
    <s v="male"/>
    <n v="21"/>
    <n v="26.4"/>
    <n v="50.4"/>
  </r>
  <r>
    <x v="0"/>
    <s v="web development"/>
    <s v="female"/>
    <n v="23"/>
    <n v="11.4"/>
    <n v="20.9"/>
  </r>
  <r>
    <x v="4"/>
    <s v="cyber security"/>
    <s v="female"/>
    <n v="21"/>
    <n v="11.5"/>
    <n v="33"/>
  </r>
  <r>
    <x v="3"/>
    <s v="data science"/>
    <s v="male"/>
    <n v="24"/>
    <n v="23.5"/>
    <n v="27"/>
  </r>
  <r>
    <x v="2"/>
    <s v="web development"/>
    <s v="male"/>
    <n v="24"/>
    <n v="13.4"/>
    <n v="7.2"/>
  </r>
  <r>
    <x v="1"/>
    <s v="data science"/>
    <s v="female"/>
    <n v="22"/>
    <n v="20.100000000000001"/>
    <n v="66.599999999999994"/>
  </r>
  <r>
    <x v="2"/>
    <s v="data science"/>
    <s v="male"/>
    <n v="21"/>
    <n v="20.399999999999999"/>
    <n v="56.1"/>
  </r>
  <r>
    <x v="1"/>
    <s v="web development"/>
    <s v="female"/>
    <n v="25"/>
    <n v="13.1"/>
    <n v="10.1"/>
  </r>
  <r>
    <x v="3"/>
    <s v="data science"/>
    <s v="female"/>
    <n v="23"/>
    <m/>
    <n v="60.3"/>
  </r>
  <r>
    <x v="3"/>
    <s v="embedded systems"/>
    <s v="male"/>
    <n v="25"/>
    <n v="16.600000000000001"/>
    <n v="11.1"/>
  </r>
  <r>
    <x v="2"/>
    <s v="web development"/>
    <s v="male"/>
    <n v="22"/>
    <n v="16.2"/>
    <n v="13.4"/>
  </r>
  <r>
    <x v="4"/>
    <s v="cyber security"/>
    <s v="male"/>
    <n v="20"/>
    <n v="7.5"/>
    <n v="58"/>
  </r>
  <r>
    <x v="2"/>
    <s v="data science"/>
    <s v="male"/>
    <n v="27"/>
    <n v="22.2"/>
    <n v="70.900000000000006"/>
  </r>
  <r>
    <x v="2"/>
    <s v="web development"/>
    <s v="female"/>
    <n v="28"/>
    <n v="9.6"/>
    <n v="116.1"/>
  </r>
  <r>
    <x v="2"/>
    <s v="ui/ux"/>
    <s v="male"/>
    <n v="26"/>
    <n v="11.6"/>
    <n v="67.7"/>
  </r>
  <r>
    <x v="2"/>
    <s v="cyber security"/>
    <s v="male"/>
    <n v="21"/>
    <n v="16.100000000000001"/>
    <n v="92"/>
  </r>
  <r>
    <x v="0"/>
    <s v="cyber security"/>
    <s v="male"/>
    <n v="23"/>
    <n v="15.1"/>
    <n v="36.6"/>
  </r>
  <r>
    <x v="3"/>
    <s v="ui/ux"/>
    <s v="male"/>
    <n v="20"/>
    <n v="6.7"/>
    <n v="44.8"/>
  </r>
  <r>
    <x v="2"/>
    <s v="data science"/>
    <s v="male"/>
    <n v="21"/>
    <n v="21.2"/>
    <n v="30.3"/>
  </r>
  <r>
    <x v="2"/>
    <s v="cyber security"/>
    <s v="female"/>
    <n v="26"/>
    <n v="9.3000000000000007"/>
    <n v="54.1"/>
  </r>
  <r>
    <x v="3"/>
    <s v="data science"/>
    <s v="female"/>
    <n v="23"/>
    <m/>
    <n v="9.4"/>
  </r>
  <r>
    <x v="3"/>
    <s v="data science"/>
    <s v="male"/>
    <n v="25"/>
    <n v="17.899999999999999"/>
    <n v="12.2"/>
  </r>
  <r>
    <x v="1"/>
    <s v="web development"/>
    <s v="female"/>
    <n v="29"/>
    <n v="14.8"/>
    <n v="27.2"/>
  </r>
  <r>
    <x v="1"/>
    <s v="web development"/>
    <s v="male"/>
    <n v="22"/>
    <n v="16.600000000000001"/>
    <n v="59.1"/>
  </r>
  <r>
    <x v="1"/>
    <s v="web development"/>
    <s v="female"/>
    <n v="20"/>
    <m/>
    <n v="15.7"/>
  </r>
  <r>
    <x v="2"/>
    <s v="web development"/>
    <s v="female"/>
    <n v="30"/>
    <n v="20"/>
    <n v="62.8"/>
  </r>
  <r>
    <x v="2"/>
    <s v="embedded systems"/>
    <s v="male"/>
    <n v="24"/>
    <n v="20.9"/>
    <n v="55.7"/>
  </r>
  <r>
    <x v="2"/>
    <s v="ui/ux"/>
    <s v="female"/>
    <n v="25"/>
    <n v="16.7"/>
    <n v="126.7"/>
  </r>
  <r>
    <x v="1"/>
    <s v="web development"/>
    <s v="female"/>
    <n v="23"/>
    <n v="20"/>
    <n v="26.2"/>
  </r>
  <r>
    <x v="4"/>
    <s v="data science"/>
    <s v="male"/>
    <n v="23"/>
    <m/>
    <n v="39.299999999999997"/>
  </r>
  <r>
    <x v="2"/>
    <s v="cyber security"/>
    <s v="male"/>
    <n v="25"/>
    <n v="9.1"/>
    <n v="38.9"/>
  </r>
  <r>
    <x v="0"/>
    <s v="web development"/>
    <s v="male"/>
    <n v="22"/>
    <n v="5.2"/>
    <n v="6.2"/>
  </r>
  <r>
    <x v="1"/>
    <s v="data science"/>
    <s v="male"/>
    <n v="24"/>
    <n v="16.100000000000001"/>
    <n v="57.8"/>
  </r>
  <r>
    <x v="2"/>
    <s v="data science"/>
    <s v="male"/>
    <n v="21"/>
    <n v="20.100000000000001"/>
    <n v="65.5"/>
  </r>
  <r>
    <x v="4"/>
    <s v="web development"/>
    <s v="male"/>
    <m/>
    <n v="10.199999999999999"/>
    <n v="23.1"/>
  </r>
  <r>
    <x v="0"/>
    <s v="embedded systems"/>
    <s v="female"/>
    <n v="24"/>
    <n v="19.7"/>
    <n v="37.6"/>
  </r>
  <r>
    <x v="2"/>
    <s v="data science"/>
    <s v="female"/>
    <n v="22"/>
    <m/>
    <n v="37.200000000000003"/>
  </r>
  <r>
    <x v="3"/>
    <s v="data science"/>
    <s v="male"/>
    <n v="23"/>
    <n v="16.7"/>
    <n v="31.3"/>
  </r>
  <r>
    <x v="2"/>
    <s v="web development"/>
    <s v="female"/>
    <n v="20"/>
    <n v="22.6"/>
    <n v="97.9"/>
  </r>
  <r>
    <x v="2"/>
    <s v="data science"/>
    <s v="male"/>
    <n v="24"/>
    <n v="18.8"/>
    <n v="26.4"/>
  </r>
  <r>
    <x v="3"/>
    <s v="data science"/>
    <s v="male"/>
    <n v="25"/>
    <n v="15.1"/>
    <n v="48"/>
  </r>
  <r>
    <x v="2"/>
    <s v="ui/ux"/>
    <s v="male"/>
    <n v="22"/>
    <n v="20.2"/>
    <n v="64.099999999999994"/>
  </r>
  <r>
    <x v="1"/>
    <s v="data science"/>
    <s v="male"/>
    <n v="22"/>
    <n v="18.7"/>
    <n v="15"/>
  </r>
  <r>
    <x v="3"/>
    <s v="web development"/>
    <s v="male"/>
    <n v="27"/>
    <n v="15.2"/>
    <n v="13.1"/>
  </r>
  <r>
    <x v="1"/>
    <s v="cyber security"/>
    <s v="male"/>
    <n v="22"/>
    <n v="14.9"/>
    <n v="16.399999999999999"/>
  </r>
  <r>
    <x v="4"/>
    <s v="cyber security"/>
    <s v="male"/>
    <n v="25"/>
    <n v="13.4"/>
    <n v="30.7"/>
  </r>
  <r>
    <x v="2"/>
    <s v="cyber security"/>
    <s v="female"/>
    <n v="22"/>
    <n v="17.899999999999999"/>
    <n v="87.2"/>
  </r>
  <r>
    <x v="2"/>
    <s v="ui/ux"/>
    <s v="female"/>
    <n v="28"/>
    <n v="9.8000000000000007"/>
    <n v="27.2"/>
  </r>
  <r>
    <x v="0"/>
    <s v="cyber security"/>
    <s v="female"/>
    <n v="24"/>
    <n v="16.8"/>
    <n v="41.4"/>
  </r>
  <r>
    <x v="2"/>
    <s v="data science"/>
    <s v="male"/>
    <n v="25"/>
    <n v="13.4"/>
    <n v="79.3"/>
  </r>
  <r>
    <x v="0"/>
    <s v="cyber security"/>
    <s v="male"/>
    <n v="25"/>
    <n v="18.5"/>
    <n v="26.9"/>
  </r>
  <r>
    <x v="2"/>
    <s v="web development"/>
    <s v="male"/>
    <n v="25"/>
    <n v="19.2"/>
    <n v="39.299999999999997"/>
  </r>
  <r>
    <x v="2"/>
    <s v="web development"/>
    <s v="female"/>
    <n v="21"/>
    <n v="20.7"/>
    <n v="36.299999999999997"/>
  </r>
  <r>
    <x v="2"/>
    <s v="web development"/>
    <s v="male"/>
    <n v="21"/>
    <n v="16.100000000000001"/>
    <n v="46.8"/>
  </r>
  <r>
    <x v="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4B4F2-42D3-40F8-A994-6CAC14FABD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K1:AM7" firstHeaderRow="0" firstDataRow="1" firstDataCol="1"/>
  <pivotFields count="6">
    <pivotField axis="axisRow" showAll="0">
      <items count="7">
        <item x="1"/>
        <item x="0"/>
        <item x="2"/>
        <item x="3"/>
        <item x="4"/>
        <item h="1" x="5"/>
        <item t="default"/>
      </items>
    </pivotField>
    <pivotField showAll="0"/>
    <pivotField showAll="0"/>
    <pivotField showAll="0"/>
    <pivotField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Average of commute_minutes" fld="5" subtotal="average" baseField="0" baseItem="0"/>
    <dataField name="Sum of commute_minutes" fld="5"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E86B-9935-4FCB-A8DC-38C91A8CA5A7}">
  <dimension ref="A1:D8"/>
  <sheetViews>
    <sheetView workbookViewId="0">
      <selection activeCell="D5" sqref="D5"/>
    </sheetView>
  </sheetViews>
  <sheetFormatPr defaultRowHeight="13.2" x14ac:dyDescent="0.25"/>
  <cols>
    <col min="1" max="1" width="18.88671875" bestFit="1" customWidth="1"/>
    <col min="2" max="2" width="22.77734375" bestFit="1" customWidth="1"/>
    <col min="3" max="3" width="18.21875" bestFit="1" customWidth="1"/>
    <col min="4" max="4" width="18.88671875" bestFit="1" customWidth="1"/>
  </cols>
  <sheetData>
    <row r="1" spans="1:4" x14ac:dyDescent="0.25">
      <c r="A1" s="13" t="s">
        <v>378</v>
      </c>
      <c r="B1" s="13" t="s">
        <v>388</v>
      </c>
      <c r="C1" s="13" t="s">
        <v>385</v>
      </c>
      <c r="D1" s="13" t="s">
        <v>397</v>
      </c>
    </row>
    <row r="2" spans="1:4" ht="14.4" x14ac:dyDescent="0.25">
      <c r="A2" s="12" t="s">
        <v>0</v>
      </c>
      <c r="B2" s="12" t="s">
        <v>5</v>
      </c>
      <c r="C2" s="12" t="s">
        <v>12</v>
      </c>
      <c r="D2" s="12" t="s">
        <v>9</v>
      </c>
    </row>
    <row r="3" spans="1:4" ht="14.4" x14ac:dyDescent="0.25">
      <c r="A3" s="12" t="s">
        <v>1</v>
      </c>
      <c r="B3" s="12" t="s">
        <v>6</v>
      </c>
    </row>
    <row r="4" spans="1:4" ht="14.4" x14ac:dyDescent="0.25">
      <c r="A4" s="12" t="s">
        <v>2</v>
      </c>
      <c r="B4" s="12" t="s">
        <v>7</v>
      </c>
    </row>
    <row r="5" spans="1:4" ht="14.4" x14ac:dyDescent="0.25">
      <c r="A5" s="12" t="s">
        <v>3</v>
      </c>
      <c r="B5" s="12" t="s">
        <v>14</v>
      </c>
    </row>
    <row r="6" spans="1:4" ht="14.4" x14ac:dyDescent="0.25">
      <c r="A6" s="12" t="s">
        <v>10</v>
      </c>
    </row>
    <row r="7" spans="1:4" ht="14.4" x14ac:dyDescent="0.25">
      <c r="A7" s="12" t="s">
        <v>11</v>
      </c>
    </row>
    <row r="8" spans="1:4" ht="14.4" x14ac:dyDescent="0.25">
      <c r="A8" s="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61"/>
  <sheetViews>
    <sheetView tabSelected="1" topLeftCell="O241" zoomScale="69" zoomScaleNormal="58" workbookViewId="0">
      <selection activeCell="U24" sqref="U24"/>
    </sheetView>
  </sheetViews>
  <sheetFormatPr defaultColWidth="12.6640625" defaultRowHeight="15.75" customHeight="1" x14ac:dyDescent="0.25"/>
  <cols>
    <col min="5" max="5" width="3.6640625" customWidth="1"/>
    <col min="6" max="7" width="17" bestFit="1" customWidth="1"/>
    <col min="8" max="8" width="11.109375" bestFit="1" customWidth="1"/>
    <col min="9" max="9" width="17.5546875" bestFit="1" customWidth="1"/>
    <col min="10" max="10" width="15.44140625" bestFit="1" customWidth="1"/>
    <col min="11" max="11" width="10.33203125" bestFit="1" customWidth="1"/>
    <col min="13" max="13" width="13.21875" bestFit="1" customWidth="1"/>
    <col min="14" max="14" width="12.88671875" bestFit="1" customWidth="1"/>
    <col min="16" max="16" width="25.44140625" customWidth="1"/>
    <col min="18" max="18" width="31.33203125" bestFit="1" customWidth="1"/>
    <col min="20" max="20" width="13.33203125" bestFit="1" customWidth="1"/>
    <col min="21" max="21" width="28.33203125" bestFit="1" customWidth="1"/>
    <col min="22" max="22" width="6.21875" bestFit="1" customWidth="1"/>
    <col min="23" max="23" width="7" bestFit="1" customWidth="1"/>
    <col min="24" max="24" width="14.21875" bestFit="1" customWidth="1"/>
    <col min="25" max="25" width="28.6640625" bestFit="1" customWidth="1"/>
    <col min="26" max="26" width="29.5546875" customWidth="1"/>
    <col min="27" max="27" width="11.33203125" bestFit="1" customWidth="1"/>
    <col min="37" max="37" width="14.88671875" bestFit="1" customWidth="1"/>
    <col min="38" max="38" width="29.21875" bestFit="1" customWidth="1"/>
    <col min="39" max="39" width="25.6640625" bestFit="1" customWidth="1"/>
  </cols>
  <sheetData>
    <row r="1" spans="1:39" ht="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AK1" s="14" t="s">
        <v>420</v>
      </c>
      <c r="AL1" t="s">
        <v>423</v>
      </c>
      <c r="AM1" t="s">
        <v>422</v>
      </c>
    </row>
    <row r="2" spans="1:39" ht="15.75" customHeight="1" x14ac:dyDescent="0.3">
      <c r="A2" s="2" t="s">
        <v>15</v>
      </c>
      <c r="B2" s="2" t="s">
        <v>16</v>
      </c>
      <c r="C2" s="2" t="s">
        <v>17</v>
      </c>
      <c r="D2" s="2" t="s">
        <v>18</v>
      </c>
      <c r="E2" s="3">
        <v>23</v>
      </c>
      <c r="F2" s="3">
        <v>22.9</v>
      </c>
      <c r="G2" s="3">
        <v>36.9</v>
      </c>
      <c r="H2" s="3">
        <v>6.4</v>
      </c>
      <c r="I2" s="3">
        <v>3</v>
      </c>
      <c r="J2" s="3">
        <v>3</v>
      </c>
      <c r="K2" s="2" t="s">
        <v>19</v>
      </c>
      <c r="L2" s="2" t="s">
        <v>20</v>
      </c>
      <c r="M2" s="3">
        <v>0</v>
      </c>
      <c r="N2" s="2" t="s">
        <v>21</v>
      </c>
      <c r="O2" s="3">
        <v>86.4</v>
      </c>
      <c r="AK2" s="15" t="s">
        <v>24</v>
      </c>
      <c r="AL2" s="18">
        <v>43.899999999999984</v>
      </c>
      <c r="AM2" s="18">
        <v>2282.7999999999993</v>
      </c>
    </row>
    <row r="3" spans="1:39" ht="15.75" customHeight="1" x14ac:dyDescent="0.3">
      <c r="A3" s="2" t="s">
        <v>23</v>
      </c>
      <c r="B3" s="2" t="s">
        <v>24</v>
      </c>
      <c r="C3" s="2" t="s">
        <v>25</v>
      </c>
      <c r="D3" s="2" t="s">
        <v>26</v>
      </c>
      <c r="E3" s="3">
        <v>24</v>
      </c>
      <c r="F3" s="3">
        <v>19.7</v>
      </c>
      <c r="G3" s="3">
        <v>31.9</v>
      </c>
      <c r="H3" s="3">
        <v>7.6</v>
      </c>
      <c r="I3" s="3">
        <v>1</v>
      </c>
      <c r="J3" s="3">
        <v>4</v>
      </c>
      <c r="K3" s="2" t="s">
        <v>19</v>
      </c>
      <c r="L3" s="2" t="s">
        <v>27</v>
      </c>
      <c r="M3" s="3">
        <v>0</v>
      </c>
      <c r="N3" s="2" t="s">
        <v>28</v>
      </c>
      <c r="O3" s="3">
        <v>90.3</v>
      </c>
      <c r="AK3" s="15" t="s">
        <v>16</v>
      </c>
      <c r="AL3" s="18">
        <v>25.906666666666663</v>
      </c>
      <c r="AM3" s="18">
        <v>777.19999999999993</v>
      </c>
    </row>
    <row r="4" spans="1:39" ht="15.75" customHeight="1" x14ac:dyDescent="0.3">
      <c r="A4" s="2" t="s">
        <v>30</v>
      </c>
      <c r="B4" s="2" t="s">
        <v>31</v>
      </c>
      <c r="C4" s="2" t="s">
        <v>32</v>
      </c>
      <c r="D4" s="2" t="s">
        <v>18</v>
      </c>
      <c r="E4" s="3">
        <v>23</v>
      </c>
      <c r="F4" s="3">
        <v>14</v>
      </c>
      <c r="G4" s="3">
        <v>51.7</v>
      </c>
      <c r="H4" s="3">
        <v>7.4</v>
      </c>
      <c r="I4" s="3">
        <v>3</v>
      </c>
      <c r="J4" s="3">
        <v>3</v>
      </c>
      <c r="K4" s="2" t="s">
        <v>19</v>
      </c>
      <c r="L4" s="2" t="s">
        <v>27</v>
      </c>
      <c r="M4" s="3">
        <v>3</v>
      </c>
      <c r="N4" s="2" t="s">
        <v>33</v>
      </c>
      <c r="O4" s="3">
        <v>72.599999999999994</v>
      </c>
      <c r="R4" s="4" t="s">
        <v>22</v>
      </c>
      <c r="S4" s="4">
        <f>CORREL(G2:G261, O2:O261)</f>
        <v>-5.515687774038569E-2</v>
      </c>
      <c r="AK4" s="15" t="s">
        <v>31</v>
      </c>
      <c r="AL4" s="18">
        <v>60.352040816326522</v>
      </c>
      <c r="AM4" s="18">
        <v>5914.4999999999991</v>
      </c>
    </row>
    <row r="5" spans="1:39" ht="15.75" customHeight="1" x14ac:dyDescent="0.3">
      <c r="A5" s="2" t="s">
        <v>35</v>
      </c>
      <c r="B5" s="2" t="s">
        <v>36</v>
      </c>
      <c r="C5" s="2" t="s">
        <v>25</v>
      </c>
      <c r="D5" s="2" t="s">
        <v>18</v>
      </c>
      <c r="E5" s="3">
        <v>23</v>
      </c>
      <c r="F5" s="3">
        <v>14</v>
      </c>
      <c r="G5" s="3">
        <v>23.3</v>
      </c>
      <c r="H5" s="3">
        <v>7.6</v>
      </c>
      <c r="I5" s="3">
        <v>4</v>
      </c>
      <c r="J5" s="3">
        <v>5</v>
      </c>
      <c r="K5" s="2" t="s">
        <v>19</v>
      </c>
      <c r="L5" s="2" t="s">
        <v>37</v>
      </c>
      <c r="M5" s="3">
        <v>0</v>
      </c>
      <c r="N5" s="2" t="s">
        <v>38</v>
      </c>
      <c r="O5" s="3">
        <v>76.7</v>
      </c>
      <c r="R5" s="5" t="s">
        <v>29</v>
      </c>
      <c r="S5" s="4">
        <f>CORREL(F2:F261, O2:O261)</f>
        <v>0.64388953180881925</v>
      </c>
      <c r="AK5" s="15" t="s">
        <v>36</v>
      </c>
      <c r="AL5" s="18">
        <v>32.259523809523799</v>
      </c>
      <c r="AM5" s="18">
        <v>1354.8999999999996</v>
      </c>
    </row>
    <row r="6" spans="1:39" ht="15.75" customHeight="1" x14ac:dyDescent="0.3">
      <c r="A6" s="2" t="s">
        <v>40</v>
      </c>
      <c r="B6" s="2" t="s">
        <v>31</v>
      </c>
      <c r="C6" s="2" t="s">
        <v>32</v>
      </c>
      <c r="D6" s="2" t="s">
        <v>26</v>
      </c>
      <c r="E6" s="3">
        <v>27</v>
      </c>
      <c r="F6" s="3">
        <v>19.5</v>
      </c>
      <c r="G6" s="3">
        <v>69.400000000000006</v>
      </c>
      <c r="H6" s="3">
        <v>6.7</v>
      </c>
      <c r="I6" s="3">
        <v>3</v>
      </c>
      <c r="J6" s="2"/>
      <c r="K6" s="2" t="s">
        <v>19</v>
      </c>
      <c r="L6" s="2" t="s">
        <v>27</v>
      </c>
      <c r="M6" s="3">
        <v>2</v>
      </c>
      <c r="N6" s="2" t="s">
        <v>33</v>
      </c>
      <c r="O6" s="3">
        <v>82.1</v>
      </c>
      <c r="R6" s="4" t="s">
        <v>34</v>
      </c>
      <c r="S6" s="4">
        <f>CORREL(H2:H261, O2:O261)</f>
        <v>0.16353223638781103</v>
      </c>
      <c r="AK6" s="15" t="s">
        <v>47</v>
      </c>
      <c r="AL6" s="18">
        <v>36.762500000000003</v>
      </c>
      <c r="AM6" s="18">
        <v>1176.4000000000001</v>
      </c>
    </row>
    <row r="7" spans="1:39" ht="15.75" customHeight="1" x14ac:dyDescent="0.3">
      <c r="A7" s="2" t="s">
        <v>43</v>
      </c>
      <c r="B7" s="2" t="s">
        <v>31</v>
      </c>
      <c r="C7" s="2" t="s">
        <v>25</v>
      </c>
      <c r="D7" s="2" t="s">
        <v>18</v>
      </c>
      <c r="E7" s="3">
        <v>25</v>
      </c>
      <c r="F7" s="3">
        <v>2</v>
      </c>
      <c r="G7" s="3">
        <v>50.1</v>
      </c>
      <c r="H7" s="3">
        <v>8</v>
      </c>
      <c r="I7" s="3">
        <v>3</v>
      </c>
      <c r="J7" s="3">
        <v>4</v>
      </c>
      <c r="K7" s="2" t="s">
        <v>44</v>
      </c>
      <c r="L7" s="2" t="s">
        <v>27</v>
      </c>
      <c r="M7" s="3">
        <v>3</v>
      </c>
      <c r="N7" s="2" t="s">
        <v>28</v>
      </c>
      <c r="O7" s="3">
        <v>80.2</v>
      </c>
      <c r="R7" s="4" t="s">
        <v>39</v>
      </c>
      <c r="S7" s="4">
        <f>MEDIAN(G2:G261)</f>
        <v>33.049999999999997</v>
      </c>
      <c r="AK7" s="15" t="s">
        <v>421</v>
      </c>
      <c r="AL7" s="18">
        <v>45.298425196850395</v>
      </c>
      <c r="AM7" s="18">
        <v>11505.800000000001</v>
      </c>
    </row>
    <row r="8" spans="1:39" ht="15.75" customHeight="1" x14ac:dyDescent="0.3">
      <c r="A8" s="2" t="s">
        <v>46</v>
      </c>
      <c r="B8" s="2" t="s">
        <v>47</v>
      </c>
      <c r="C8" s="2" t="s">
        <v>48</v>
      </c>
      <c r="D8" s="2" t="s">
        <v>18</v>
      </c>
      <c r="E8" s="3">
        <v>23</v>
      </c>
      <c r="F8" s="3">
        <v>15.6</v>
      </c>
      <c r="G8" s="3">
        <v>20.2</v>
      </c>
      <c r="H8" s="3">
        <v>6.6</v>
      </c>
      <c r="I8" s="3">
        <v>2</v>
      </c>
      <c r="J8" s="3">
        <v>5</v>
      </c>
      <c r="K8" s="2" t="s">
        <v>19</v>
      </c>
      <c r="L8" s="2" t="s">
        <v>20</v>
      </c>
      <c r="M8" s="3">
        <v>3</v>
      </c>
      <c r="N8" s="2" t="s">
        <v>49</v>
      </c>
      <c r="O8" s="3">
        <v>72.400000000000006</v>
      </c>
      <c r="R8" s="16" t="s">
        <v>41</v>
      </c>
      <c r="S8" s="4" t="s">
        <v>42</v>
      </c>
      <c r="T8" s="4">
        <f>AVERAGEIF(G2:G261, "&lt;="&amp;MEDIAN(G2:G261), O2:O261)</f>
        <v>79.588799999999978</v>
      </c>
    </row>
    <row r="9" spans="1:39" ht="15.75" customHeight="1" x14ac:dyDescent="0.3">
      <c r="A9" s="2" t="s">
        <v>51</v>
      </c>
      <c r="B9" s="2" t="s">
        <v>24</v>
      </c>
      <c r="C9" s="2" t="s">
        <v>48</v>
      </c>
      <c r="D9" s="2" t="s">
        <v>26</v>
      </c>
      <c r="E9" s="3">
        <v>25</v>
      </c>
      <c r="F9" s="3">
        <v>12.8</v>
      </c>
      <c r="G9" s="3">
        <v>52.2</v>
      </c>
      <c r="H9" s="3">
        <v>6.4</v>
      </c>
      <c r="I9" s="3">
        <v>2</v>
      </c>
      <c r="J9" s="3">
        <v>3</v>
      </c>
      <c r="K9" s="2" t="s">
        <v>19</v>
      </c>
      <c r="L9" s="2" t="s">
        <v>27</v>
      </c>
      <c r="M9" s="3">
        <v>3</v>
      </c>
      <c r="N9" s="2" t="s">
        <v>21</v>
      </c>
      <c r="O9" s="3">
        <v>74</v>
      </c>
      <c r="R9" s="17"/>
      <c r="S9" s="4" t="s">
        <v>45</v>
      </c>
      <c r="T9" s="4">
        <f ca="1">IFERROR(__xludf.DUMMYFUNCTION("STDEV(FILTER(O2:O261, G2:G261 &lt;= MEDIAN(G2:G261)))"),10.2595178444442)</f>
        <v>10.259517844444201</v>
      </c>
    </row>
    <row r="10" spans="1:39" ht="15.75" customHeight="1" x14ac:dyDescent="0.3">
      <c r="A10" s="2" t="s">
        <v>52</v>
      </c>
      <c r="B10" s="2" t="s">
        <v>24</v>
      </c>
      <c r="C10" s="2" t="s">
        <v>17</v>
      </c>
      <c r="D10" s="2" t="s">
        <v>18</v>
      </c>
      <c r="E10" s="3">
        <v>26</v>
      </c>
      <c r="F10" s="3">
        <v>19.100000000000001</v>
      </c>
      <c r="G10" s="3">
        <v>34.799999999999997</v>
      </c>
      <c r="H10" s="3">
        <v>7.6</v>
      </c>
      <c r="I10" s="3">
        <v>4</v>
      </c>
      <c r="J10" s="3">
        <v>3</v>
      </c>
      <c r="K10" s="2" t="s">
        <v>19</v>
      </c>
      <c r="L10" s="2" t="s">
        <v>37</v>
      </c>
      <c r="M10" s="3">
        <v>0</v>
      </c>
      <c r="N10" s="2" t="s">
        <v>28</v>
      </c>
      <c r="O10" s="3">
        <v>83.7</v>
      </c>
      <c r="R10" s="16" t="s">
        <v>50</v>
      </c>
      <c r="S10" s="4" t="s">
        <v>42</v>
      </c>
      <c r="T10" s="4">
        <f>AVERAGEIF(G2:G261, "&gt;"&amp;MEDIAN(G2:G261), O2:O261)</f>
        <v>78.900826446281016</v>
      </c>
    </row>
    <row r="11" spans="1:39" ht="15.75" customHeight="1" x14ac:dyDescent="0.3">
      <c r="A11" s="2" t="s">
        <v>53</v>
      </c>
      <c r="B11" s="2" t="s">
        <v>47</v>
      </c>
      <c r="C11" s="2" t="s">
        <v>32</v>
      </c>
      <c r="D11" s="2" t="s">
        <v>26</v>
      </c>
      <c r="E11" s="3">
        <v>28</v>
      </c>
      <c r="F11" s="3">
        <v>9.3000000000000007</v>
      </c>
      <c r="G11" s="3">
        <v>26</v>
      </c>
      <c r="H11" s="3">
        <v>6.3</v>
      </c>
      <c r="I11" s="3">
        <v>1</v>
      </c>
      <c r="J11" s="3">
        <v>2</v>
      </c>
      <c r="K11" s="2" t="s">
        <v>19</v>
      </c>
      <c r="L11" s="2" t="s">
        <v>54</v>
      </c>
      <c r="M11" s="3">
        <v>4</v>
      </c>
      <c r="N11" s="2" t="s">
        <v>33</v>
      </c>
      <c r="O11" s="3">
        <v>58.5</v>
      </c>
      <c r="R11" s="17"/>
      <c r="S11" s="4" t="s">
        <v>45</v>
      </c>
      <c r="T11" s="4">
        <f ca="1">IFERROR(__xludf.DUMMYFUNCTION("STDEV(FILTER(O2:O261, G2:G261 &gt; MEDIAN(G2:G261)))"),9.33540300743865)</f>
        <v>9.33540300743865</v>
      </c>
    </row>
    <row r="12" spans="1:39" ht="15.75" customHeight="1" x14ac:dyDescent="0.3">
      <c r="A12" s="2" t="s">
        <v>55</v>
      </c>
      <c r="B12" s="2" t="s">
        <v>47</v>
      </c>
      <c r="C12" s="2" t="s">
        <v>48</v>
      </c>
      <c r="D12" s="2" t="s">
        <v>18</v>
      </c>
      <c r="E12" s="3">
        <v>21</v>
      </c>
      <c r="F12" s="3">
        <v>12.5</v>
      </c>
      <c r="G12" s="3">
        <v>15.8</v>
      </c>
      <c r="H12" s="3">
        <v>8.3000000000000007</v>
      </c>
      <c r="I12" s="3">
        <v>2</v>
      </c>
      <c r="J12" s="3">
        <v>4</v>
      </c>
      <c r="K12" s="2" t="s">
        <v>19</v>
      </c>
      <c r="L12" s="2" t="s">
        <v>54</v>
      </c>
      <c r="M12" s="3">
        <v>1</v>
      </c>
      <c r="N12" s="2" t="s">
        <v>49</v>
      </c>
      <c r="O12" s="3">
        <v>75.8</v>
      </c>
    </row>
    <row r="13" spans="1:39" ht="15.75" customHeight="1" x14ac:dyDescent="0.3">
      <c r="A13" s="2" t="s">
        <v>56</v>
      </c>
      <c r="B13" s="2" t="s">
        <v>36</v>
      </c>
      <c r="C13" s="2" t="s">
        <v>25</v>
      </c>
      <c r="D13" s="2" t="s">
        <v>18</v>
      </c>
      <c r="E13" s="3">
        <v>20</v>
      </c>
      <c r="F13" s="3">
        <v>15.7</v>
      </c>
      <c r="G13" s="3">
        <v>10.9</v>
      </c>
      <c r="H13" s="3">
        <v>7</v>
      </c>
      <c r="I13" s="3">
        <v>5</v>
      </c>
      <c r="J13" s="3">
        <v>4</v>
      </c>
      <c r="K13" s="2" t="s">
        <v>19</v>
      </c>
      <c r="L13" s="2" t="s">
        <v>20</v>
      </c>
      <c r="M13" s="3">
        <v>0</v>
      </c>
      <c r="N13" s="2" t="s">
        <v>33</v>
      </c>
      <c r="O13" s="3">
        <v>79.7</v>
      </c>
    </row>
    <row r="14" spans="1:39" ht="15.75" customHeight="1" x14ac:dyDescent="0.3">
      <c r="A14" s="2" t="s">
        <v>57</v>
      </c>
      <c r="B14" s="2" t="s">
        <v>16</v>
      </c>
      <c r="C14" s="2" t="s">
        <v>32</v>
      </c>
      <c r="D14" s="2" t="s">
        <v>26</v>
      </c>
      <c r="E14" s="2"/>
      <c r="F14" s="3">
        <v>18.600000000000001</v>
      </c>
      <c r="G14" s="3">
        <v>25.9</v>
      </c>
      <c r="H14" s="3">
        <v>6.9</v>
      </c>
      <c r="I14" s="3">
        <v>2</v>
      </c>
      <c r="J14" s="3">
        <v>3</v>
      </c>
      <c r="K14" s="2" t="s">
        <v>19</v>
      </c>
      <c r="L14" s="2" t="s">
        <v>20</v>
      </c>
      <c r="M14" s="3">
        <v>0</v>
      </c>
      <c r="N14" s="2" t="s">
        <v>21</v>
      </c>
      <c r="O14" s="3">
        <v>93.5</v>
      </c>
    </row>
    <row r="15" spans="1:39" ht="15.75" customHeight="1" x14ac:dyDescent="0.3">
      <c r="A15" s="2" t="s">
        <v>58</v>
      </c>
      <c r="B15" s="2" t="s">
        <v>31</v>
      </c>
      <c r="C15" s="2" t="s">
        <v>17</v>
      </c>
      <c r="D15" s="2" t="s">
        <v>18</v>
      </c>
      <c r="E15" s="3">
        <v>23</v>
      </c>
      <c r="F15" s="3">
        <v>19.7</v>
      </c>
      <c r="G15" s="3">
        <v>105.8</v>
      </c>
      <c r="H15" s="3">
        <v>7</v>
      </c>
      <c r="I15" s="3">
        <v>2</v>
      </c>
      <c r="J15" s="3">
        <v>3</v>
      </c>
      <c r="K15" s="2" t="s">
        <v>19</v>
      </c>
      <c r="L15" s="2" t="s">
        <v>59</v>
      </c>
      <c r="M15" s="3">
        <v>0</v>
      </c>
      <c r="N15" s="2" t="s">
        <v>60</v>
      </c>
      <c r="O15" s="3">
        <v>78.5</v>
      </c>
    </row>
    <row r="16" spans="1:39" ht="14.4" x14ac:dyDescent="0.3">
      <c r="A16" s="2" t="s">
        <v>61</v>
      </c>
      <c r="B16" s="2" t="s">
        <v>31</v>
      </c>
      <c r="C16" s="2" t="s">
        <v>32</v>
      </c>
      <c r="D16" s="2" t="s">
        <v>18</v>
      </c>
      <c r="E16" s="3">
        <v>25</v>
      </c>
      <c r="F16" s="3">
        <v>16.100000000000001</v>
      </c>
      <c r="G16" s="3">
        <v>87.6</v>
      </c>
      <c r="H16" s="3">
        <v>7.4</v>
      </c>
      <c r="I16" s="3">
        <v>0</v>
      </c>
      <c r="J16" s="3">
        <v>2</v>
      </c>
      <c r="K16" s="2" t="s">
        <v>44</v>
      </c>
      <c r="L16" s="2" t="s">
        <v>20</v>
      </c>
      <c r="M16" s="3">
        <v>0</v>
      </c>
      <c r="N16" s="2" t="s">
        <v>38</v>
      </c>
      <c r="O16" s="3">
        <v>69.7</v>
      </c>
    </row>
    <row r="17" spans="1:15" ht="14.4" x14ac:dyDescent="0.3">
      <c r="A17" s="2" t="s">
        <v>62</v>
      </c>
      <c r="B17" s="2" t="s">
        <v>36</v>
      </c>
      <c r="C17" s="2" t="s">
        <v>32</v>
      </c>
      <c r="D17" s="2" t="s">
        <v>18</v>
      </c>
      <c r="E17" s="3">
        <v>23</v>
      </c>
      <c r="F17" s="3">
        <v>7</v>
      </c>
      <c r="G17" s="3">
        <v>12.1</v>
      </c>
      <c r="H17" s="3">
        <v>4.5</v>
      </c>
      <c r="I17" s="3">
        <v>4</v>
      </c>
      <c r="J17" s="3">
        <v>2</v>
      </c>
      <c r="K17" s="2" t="s">
        <v>19</v>
      </c>
      <c r="L17" s="2" t="s">
        <v>59</v>
      </c>
      <c r="M17" s="3">
        <v>0</v>
      </c>
      <c r="N17" s="2" t="s">
        <v>38</v>
      </c>
      <c r="O17" s="3">
        <v>69.599999999999994</v>
      </c>
    </row>
    <row r="18" spans="1:15" ht="14.4" x14ac:dyDescent="0.3">
      <c r="A18" s="2" t="s">
        <v>63</v>
      </c>
      <c r="B18" s="2" t="s">
        <v>24</v>
      </c>
      <c r="C18" s="2" t="s">
        <v>25</v>
      </c>
      <c r="D18" s="2" t="s">
        <v>26</v>
      </c>
      <c r="E18" s="2"/>
      <c r="F18" s="3">
        <v>16.7</v>
      </c>
      <c r="G18" s="3">
        <v>14.7</v>
      </c>
      <c r="H18" s="3">
        <v>5.4</v>
      </c>
      <c r="I18" s="3">
        <v>6</v>
      </c>
      <c r="J18" s="3">
        <v>5</v>
      </c>
      <c r="K18" s="2" t="s">
        <v>19</v>
      </c>
      <c r="L18" s="2" t="s">
        <v>54</v>
      </c>
      <c r="M18" s="3">
        <v>0</v>
      </c>
      <c r="N18" s="2" t="s">
        <v>33</v>
      </c>
      <c r="O18" s="3">
        <v>87.5</v>
      </c>
    </row>
    <row r="19" spans="1:15" ht="14.4" x14ac:dyDescent="0.3">
      <c r="A19" s="2" t="s">
        <v>64</v>
      </c>
      <c r="B19" s="2" t="s">
        <v>47</v>
      </c>
      <c r="C19" s="2" t="s">
        <v>32</v>
      </c>
      <c r="D19" s="2" t="s">
        <v>18</v>
      </c>
      <c r="E19" s="3">
        <v>24</v>
      </c>
      <c r="F19" s="3">
        <v>25.7</v>
      </c>
      <c r="G19" s="3">
        <v>10.8</v>
      </c>
      <c r="H19" s="3">
        <v>6.1</v>
      </c>
      <c r="I19" s="3">
        <v>3</v>
      </c>
      <c r="J19" s="3">
        <v>4</v>
      </c>
      <c r="K19" s="2" t="s">
        <v>19</v>
      </c>
      <c r="L19" s="2" t="s">
        <v>37</v>
      </c>
      <c r="M19" s="3">
        <v>2</v>
      </c>
      <c r="N19" s="2" t="s">
        <v>60</v>
      </c>
      <c r="O19" s="3">
        <v>80.3</v>
      </c>
    </row>
    <row r="20" spans="1:15" ht="14.4" x14ac:dyDescent="0.3">
      <c r="A20" s="2" t="s">
        <v>65</v>
      </c>
      <c r="B20" s="2" t="s">
        <v>47</v>
      </c>
      <c r="C20" s="2" t="s">
        <v>32</v>
      </c>
      <c r="D20" s="2" t="s">
        <v>18</v>
      </c>
      <c r="E20" s="3">
        <v>23</v>
      </c>
      <c r="F20" s="3">
        <v>15.6</v>
      </c>
      <c r="G20" s="3">
        <v>22.4</v>
      </c>
      <c r="H20" s="3">
        <v>6.5</v>
      </c>
      <c r="I20" s="3">
        <v>2</v>
      </c>
      <c r="J20" s="3">
        <v>4</v>
      </c>
      <c r="K20" s="2" t="s">
        <v>19</v>
      </c>
      <c r="L20" s="2" t="s">
        <v>20</v>
      </c>
      <c r="M20" s="3">
        <v>0</v>
      </c>
      <c r="N20" s="2" t="s">
        <v>60</v>
      </c>
      <c r="O20" s="3">
        <v>78.099999999999994</v>
      </c>
    </row>
    <row r="21" spans="1:15" ht="14.4" x14ac:dyDescent="0.3">
      <c r="A21" s="2" t="s">
        <v>66</v>
      </c>
      <c r="B21" s="2" t="s">
        <v>31</v>
      </c>
      <c r="C21" s="2" t="s">
        <v>32</v>
      </c>
      <c r="D21" s="2" t="s">
        <v>18</v>
      </c>
      <c r="E21" s="3">
        <v>26</v>
      </c>
      <c r="F21" s="3">
        <v>23.1</v>
      </c>
      <c r="G21" s="3">
        <v>36.5</v>
      </c>
      <c r="H21" s="3">
        <v>5.4</v>
      </c>
      <c r="I21" s="3">
        <v>0</v>
      </c>
      <c r="J21" s="3">
        <v>4</v>
      </c>
      <c r="K21" s="2" t="s">
        <v>44</v>
      </c>
      <c r="L21" s="2" t="s">
        <v>59</v>
      </c>
      <c r="M21" s="3">
        <v>0</v>
      </c>
      <c r="N21" s="2" t="s">
        <v>33</v>
      </c>
      <c r="O21" s="3">
        <v>92.3</v>
      </c>
    </row>
    <row r="22" spans="1:15" ht="14.4" x14ac:dyDescent="0.3">
      <c r="A22" s="2" t="s">
        <v>67</v>
      </c>
      <c r="B22" s="2" t="s">
        <v>31</v>
      </c>
      <c r="C22" s="2" t="s">
        <v>17</v>
      </c>
      <c r="D22" s="2" t="s">
        <v>18</v>
      </c>
      <c r="E22" s="3">
        <v>26</v>
      </c>
      <c r="F22" s="2"/>
      <c r="G22" s="3">
        <v>9</v>
      </c>
      <c r="H22" s="3">
        <v>6.8</v>
      </c>
      <c r="I22" s="3">
        <v>4</v>
      </c>
      <c r="J22" s="3">
        <v>2</v>
      </c>
      <c r="K22" s="2" t="s">
        <v>19</v>
      </c>
      <c r="L22" s="2" t="s">
        <v>20</v>
      </c>
      <c r="M22" s="3">
        <v>2</v>
      </c>
      <c r="N22" s="2" t="s">
        <v>60</v>
      </c>
      <c r="O22" s="3">
        <v>67.3</v>
      </c>
    </row>
    <row r="23" spans="1:15" ht="14.4" x14ac:dyDescent="0.3">
      <c r="A23" s="2" t="s">
        <v>68</v>
      </c>
      <c r="B23" s="2" t="s">
        <v>36</v>
      </c>
      <c r="C23" s="2" t="s">
        <v>17</v>
      </c>
      <c r="D23" s="2" t="s">
        <v>18</v>
      </c>
      <c r="E23" s="3">
        <v>24</v>
      </c>
      <c r="F23" s="3">
        <v>11.7</v>
      </c>
      <c r="G23" s="3">
        <v>32.9</v>
      </c>
      <c r="H23" s="3">
        <v>9</v>
      </c>
      <c r="I23" s="3">
        <v>4</v>
      </c>
      <c r="J23" s="3">
        <v>4</v>
      </c>
      <c r="K23" s="2" t="s">
        <v>19</v>
      </c>
      <c r="L23" s="2" t="s">
        <v>27</v>
      </c>
      <c r="M23" s="3">
        <v>1</v>
      </c>
      <c r="N23" s="2" t="s">
        <v>28</v>
      </c>
      <c r="O23" s="3">
        <v>69.3</v>
      </c>
    </row>
    <row r="24" spans="1:15" ht="14.4" x14ac:dyDescent="0.3">
      <c r="A24" s="2" t="s">
        <v>69</v>
      </c>
      <c r="B24" s="2" t="s">
        <v>24</v>
      </c>
      <c r="C24" s="2" t="s">
        <v>17</v>
      </c>
      <c r="D24" s="2" t="s">
        <v>26</v>
      </c>
      <c r="E24" s="3">
        <v>20</v>
      </c>
      <c r="F24" s="3">
        <v>2</v>
      </c>
      <c r="G24" s="3">
        <v>25.2</v>
      </c>
      <c r="H24" s="3">
        <v>6.9</v>
      </c>
      <c r="I24" s="3">
        <v>1</v>
      </c>
      <c r="J24" s="3">
        <v>4</v>
      </c>
      <c r="K24" s="2" t="s">
        <v>19</v>
      </c>
      <c r="L24" s="2" t="s">
        <v>27</v>
      </c>
      <c r="M24" s="3">
        <v>0</v>
      </c>
      <c r="N24" s="2" t="s">
        <v>33</v>
      </c>
      <c r="O24" s="3">
        <v>53.3</v>
      </c>
    </row>
    <row r="25" spans="1:15" ht="14.4" x14ac:dyDescent="0.3">
      <c r="A25" s="2" t="s">
        <v>70</v>
      </c>
      <c r="B25" s="2" t="s">
        <v>31</v>
      </c>
      <c r="C25" s="2" t="s">
        <v>71</v>
      </c>
      <c r="D25" s="2" t="s">
        <v>26</v>
      </c>
      <c r="E25" s="3">
        <v>25</v>
      </c>
      <c r="F25" s="3">
        <v>9.1999999999999993</v>
      </c>
      <c r="G25" s="3">
        <v>89.5</v>
      </c>
      <c r="H25" s="3">
        <v>6.6</v>
      </c>
      <c r="I25" s="3">
        <v>3</v>
      </c>
      <c r="J25" s="3">
        <v>4</v>
      </c>
      <c r="K25" s="2" t="s">
        <v>44</v>
      </c>
      <c r="L25" s="2" t="s">
        <v>54</v>
      </c>
      <c r="M25" s="3">
        <v>0</v>
      </c>
      <c r="N25" s="2" t="s">
        <v>38</v>
      </c>
      <c r="O25" s="3">
        <v>67.599999999999994</v>
      </c>
    </row>
    <row r="26" spans="1:15" ht="14.4" x14ac:dyDescent="0.3">
      <c r="A26" s="2" t="s">
        <v>72</v>
      </c>
      <c r="B26" s="2" t="s">
        <v>31</v>
      </c>
      <c r="C26" s="2" t="s">
        <v>48</v>
      </c>
      <c r="D26" s="2" t="s">
        <v>26</v>
      </c>
      <c r="E26" s="3">
        <v>23</v>
      </c>
      <c r="F26" s="3">
        <v>21.5</v>
      </c>
      <c r="G26" s="3">
        <v>59.6</v>
      </c>
      <c r="H26" s="3">
        <v>8.5</v>
      </c>
      <c r="I26" s="3">
        <v>8</v>
      </c>
      <c r="J26" s="3">
        <v>3</v>
      </c>
      <c r="K26" s="2" t="s">
        <v>19</v>
      </c>
      <c r="L26" s="2" t="s">
        <v>37</v>
      </c>
      <c r="M26" s="3">
        <v>0</v>
      </c>
      <c r="N26" s="2" t="s">
        <v>60</v>
      </c>
      <c r="O26" s="3">
        <v>85.9</v>
      </c>
    </row>
    <row r="27" spans="1:15" ht="14.4" x14ac:dyDescent="0.3">
      <c r="A27" s="2" t="s">
        <v>73</v>
      </c>
      <c r="B27" s="2" t="s">
        <v>31</v>
      </c>
      <c r="C27" s="2" t="s">
        <v>17</v>
      </c>
      <c r="D27" s="2" t="s">
        <v>18</v>
      </c>
      <c r="E27" s="3">
        <v>25</v>
      </c>
      <c r="F27" s="3">
        <v>16.399999999999999</v>
      </c>
      <c r="G27" s="3">
        <v>39.200000000000003</v>
      </c>
      <c r="H27" s="3">
        <v>6.7</v>
      </c>
      <c r="I27" s="3">
        <v>3</v>
      </c>
      <c r="J27" s="3">
        <v>2</v>
      </c>
      <c r="K27" s="2" t="s">
        <v>19</v>
      </c>
      <c r="L27" s="2" t="s">
        <v>37</v>
      </c>
      <c r="M27" s="3">
        <v>2</v>
      </c>
      <c r="N27" s="2" t="s">
        <v>28</v>
      </c>
      <c r="O27" s="3">
        <v>86.1</v>
      </c>
    </row>
    <row r="28" spans="1:15" ht="14.4" x14ac:dyDescent="0.3">
      <c r="A28" s="2" t="s">
        <v>74</v>
      </c>
      <c r="B28" s="2" t="s">
        <v>31</v>
      </c>
      <c r="C28" s="2" t="s">
        <v>32</v>
      </c>
      <c r="D28" s="2" t="s">
        <v>26</v>
      </c>
      <c r="E28" s="3">
        <v>23</v>
      </c>
      <c r="F28" s="3">
        <v>14.7</v>
      </c>
      <c r="G28" s="3">
        <v>54.8</v>
      </c>
      <c r="H28" s="3">
        <v>5.7</v>
      </c>
      <c r="I28" s="3">
        <v>2</v>
      </c>
      <c r="J28" s="3">
        <v>3</v>
      </c>
      <c r="K28" s="2" t="s">
        <v>19</v>
      </c>
      <c r="L28" s="2" t="s">
        <v>54</v>
      </c>
      <c r="M28" s="3">
        <v>0</v>
      </c>
      <c r="N28" s="2" t="s">
        <v>60</v>
      </c>
      <c r="O28" s="3">
        <v>77.900000000000006</v>
      </c>
    </row>
    <row r="29" spans="1:15" ht="14.4" x14ac:dyDescent="0.3">
      <c r="A29" s="2" t="s">
        <v>75</v>
      </c>
      <c r="B29" s="2" t="s">
        <v>31</v>
      </c>
      <c r="C29" s="2" t="s">
        <v>17</v>
      </c>
      <c r="D29" s="2" t="s">
        <v>18</v>
      </c>
      <c r="E29" s="3">
        <v>24</v>
      </c>
      <c r="F29" s="3">
        <v>19</v>
      </c>
      <c r="G29" s="3">
        <v>133.69999999999999</v>
      </c>
      <c r="H29" s="3">
        <v>6.1</v>
      </c>
      <c r="I29" s="3">
        <v>2</v>
      </c>
      <c r="J29" s="3">
        <v>3</v>
      </c>
      <c r="K29" s="2" t="s">
        <v>19</v>
      </c>
      <c r="L29" s="2" t="s">
        <v>27</v>
      </c>
      <c r="M29" s="3">
        <v>1</v>
      </c>
      <c r="N29" s="2" t="s">
        <v>33</v>
      </c>
      <c r="O29" s="3">
        <v>68.099999999999994</v>
      </c>
    </row>
    <row r="30" spans="1:15" ht="14.4" x14ac:dyDescent="0.3">
      <c r="A30" s="2" t="s">
        <v>76</v>
      </c>
      <c r="B30" s="2" t="s">
        <v>31</v>
      </c>
      <c r="C30" s="2" t="s">
        <v>17</v>
      </c>
      <c r="D30" s="2" t="s">
        <v>26</v>
      </c>
      <c r="E30" s="3">
        <v>23</v>
      </c>
      <c r="F30" s="3">
        <v>17.100000000000001</v>
      </c>
      <c r="G30" s="3">
        <v>46.4</v>
      </c>
      <c r="H30" s="3">
        <v>8.9</v>
      </c>
      <c r="I30" s="3">
        <v>1</v>
      </c>
      <c r="J30" s="3">
        <v>4</v>
      </c>
      <c r="K30" s="2" t="s">
        <v>44</v>
      </c>
      <c r="L30" s="2" t="s">
        <v>27</v>
      </c>
      <c r="M30" s="3">
        <v>3</v>
      </c>
      <c r="N30" s="2" t="s">
        <v>33</v>
      </c>
      <c r="O30" s="3">
        <v>89.4</v>
      </c>
    </row>
    <row r="31" spans="1:15" ht="14.4" x14ac:dyDescent="0.3">
      <c r="A31" s="2" t="s">
        <v>77</v>
      </c>
      <c r="B31" s="2" t="s">
        <v>24</v>
      </c>
      <c r="C31" s="2" t="s">
        <v>17</v>
      </c>
      <c r="D31" s="2" t="s">
        <v>18</v>
      </c>
      <c r="E31" s="3">
        <v>22</v>
      </c>
      <c r="F31" s="3">
        <v>19.5</v>
      </c>
      <c r="G31" s="3">
        <v>110.8</v>
      </c>
      <c r="H31" s="3">
        <v>5.9</v>
      </c>
      <c r="I31" s="3">
        <v>8</v>
      </c>
      <c r="J31" s="3">
        <v>4</v>
      </c>
      <c r="K31" s="2" t="s">
        <v>19</v>
      </c>
      <c r="L31" s="2" t="s">
        <v>27</v>
      </c>
      <c r="M31" s="3">
        <v>2</v>
      </c>
      <c r="N31" s="2" t="s">
        <v>38</v>
      </c>
      <c r="O31" s="3">
        <v>70.7</v>
      </c>
    </row>
    <row r="32" spans="1:15" ht="14.4" x14ac:dyDescent="0.3">
      <c r="A32" s="2" t="s">
        <v>78</v>
      </c>
      <c r="B32" s="2" t="s">
        <v>47</v>
      </c>
      <c r="C32" s="2" t="s">
        <v>17</v>
      </c>
      <c r="D32" s="2" t="s">
        <v>26</v>
      </c>
      <c r="E32" s="3">
        <v>24</v>
      </c>
      <c r="F32" s="3">
        <v>21.5</v>
      </c>
      <c r="G32" s="3">
        <v>8.4</v>
      </c>
      <c r="H32" s="3">
        <v>7</v>
      </c>
      <c r="I32" s="3">
        <v>7</v>
      </c>
      <c r="J32" s="3">
        <v>5</v>
      </c>
      <c r="K32" s="2" t="s">
        <v>19</v>
      </c>
      <c r="L32" s="2" t="s">
        <v>27</v>
      </c>
      <c r="M32" s="3">
        <v>1</v>
      </c>
      <c r="N32" s="2" t="s">
        <v>60</v>
      </c>
      <c r="O32" s="3">
        <v>91.7</v>
      </c>
    </row>
    <row r="33" spans="1:15" ht="14.4" x14ac:dyDescent="0.3">
      <c r="A33" s="2" t="s">
        <v>79</v>
      </c>
      <c r="B33" s="2" t="s">
        <v>36</v>
      </c>
      <c r="C33" s="2" t="s">
        <v>32</v>
      </c>
      <c r="D33" s="2" t="s">
        <v>26</v>
      </c>
      <c r="E33" s="3">
        <v>28</v>
      </c>
      <c r="F33" s="3">
        <v>14.4</v>
      </c>
      <c r="G33" s="3">
        <v>29.4</v>
      </c>
      <c r="H33" s="3">
        <v>6.4</v>
      </c>
      <c r="I33" s="3">
        <v>2</v>
      </c>
      <c r="J33" s="3">
        <v>3</v>
      </c>
      <c r="K33" s="2" t="s">
        <v>19</v>
      </c>
      <c r="L33" s="2" t="s">
        <v>54</v>
      </c>
      <c r="M33" s="3">
        <v>1</v>
      </c>
      <c r="N33" s="2" t="s">
        <v>38</v>
      </c>
      <c r="O33" s="3">
        <v>83.9</v>
      </c>
    </row>
    <row r="34" spans="1:15" ht="14.4" x14ac:dyDescent="0.3">
      <c r="A34" s="2" t="s">
        <v>80</v>
      </c>
      <c r="B34" s="2" t="s">
        <v>36</v>
      </c>
      <c r="C34" s="2" t="s">
        <v>32</v>
      </c>
      <c r="D34" s="2" t="s">
        <v>26</v>
      </c>
      <c r="E34" s="3">
        <v>20</v>
      </c>
      <c r="F34" s="3">
        <v>17.7</v>
      </c>
      <c r="G34" s="3">
        <v>43.8</v>
      </c>
      <c r="H34" s="3">
        <v>6.8</v>
      </c>
      <c r="I34" s="3">
        <v>7</v>
      </c>
      <c r="J34" s="3">
        <v>4</v>
      </c>
      <c r="K34" s="2" t="s">
        <v>19</v>
      </c>
      <c r="L34" s="2" t="s">
        <v>37</v>
      </c>
      <c r="M34" s="3">
        <v>0</v>
      </c>
      <c r="N34" s="2" t="s">
        <v>21</v>
      </c>
      <c r="O34" s="3">
        <v>77.2</v>
      </c>
    </row>
    <row r="35" spans="1:15" ht="14.4" x14ac:dyDescent="0.3">
      <c r="A35" s="2" t="s">
        <v>81</v>
      </c>
      <c r="B35" s="2" t="s">
        <v>24</v>
      </c>
      <c r="C35" s="2" t="s">
        <v>48</v>
      </c>
      <c r="D35" s="2" t="s">
        <v>26</v>
      </c>
      <c r="E35" s="3">
        <v>21</v>
      </c>
      <c r="F35" s="3">
        <v>14.8</v>
      </c>
      <c r="G35" s="3">
        <v>9.6999999999999993</v>
      </c>
      <c r="H35" s="3">
        <v>5.6</v>
      </c>
      <c r="I35" s="3">
        <v>0</v>
      </c>
      <c r="J35" s="3">
        <v>4</v>
      </c>
      <c r="K35" s="2" t="s">
        <v>44</v>
      </c>
      <c r="L35" s="2" t="s">
        <v>20</v>
      </c>
      <c r="M35" s="3">
        <v>1</v>
      </c>
      <c r="N35" s="2" t="s">
        <v>60</v>
      </c>
      <c r="O35" s="3">
        <v>64.2</v>
      </c>
    </row>
    <row r="36" spans="1:15" ht="14.4" x14ac:dyDescent="0.3">
      <c r="A36" s="2" t="s">
        <v>82</v>
      </c>
      <c r="B36" s="2" t="s">
        <v>36</v>
      </c>
      <c r="C36" s="2" t="s">
        <v>48</v>
      </c>
      <c r="D36" s="2" t="s">
        <v>26</v>
      </c>
      <c r="E36" s="3">
        <v>22</v>
      </c>
      <c r="F36" s="3">
        <v>18.2</v>
      </c>
      <c r="G36" s="3">
        <v>16.100000000000001</v>
      </c>
      <c r="H36" s="3">
        <v>5.7</v>
      </c>
      <c r="I36" s="3">
        <v>5</v>
      </c>
      <c r="J36" s="3">
        <v>4</v>
      </c>
      <c r="K36" s="2" t="s">
        <v>19</v>
      </c>
      <c r="L36" s="2" t="s">
        <v>20</v>
      </c>
      <c r="M36" s="3">
        <v>0</v>
      </c>
      <c r="N36" s="2" t="s">
        <v>28</v>
      </c>
      <c r="O36" s="3">
        <v>72.900000000000006</v>
      </c>
    </row>
    <row r="37" spans="1:15" ht="14.4" x14ac:dyDescent="0.3">
      <c r="A37" s="2" t="s">
        <v>83</v>
      </c>
      <c r="B37" s="2" t="s">
        <v>24</v>
      </c>
      <c r="C37" s="2" t="s">
        <v>17</v>
      </c>
      <c r="D37" s="2" t="s">
        <v>26</v>
      </c>
      <c r="E37" s="3">
        <v>25</v>
      </c>
      <c r="F37" s="3">
        <v>20.5</v>
      </c>
      <c r="G37" s="2"/>
      <c r="H37" s="3">
        <v>6.4</v>
      </c>
      <c r="I37" s="3">
        <v>3</v>
      </c>
      <c r="J37" s="3">
        <v>3</v>
      </c>
      <c r="K37" s="2" t="s">
        <v>19</v>
      </c>
      <c r="L37" s="2" t="s">
        <v>27</v>
      </c>
      <c r="M37" s="3">
        <v>1</v>
      </c>
      <c r="N37" s="2" t="s">
        <v>28</v>
      </c>
      <c r="O37" s="3">
        <v>95.6</v>
      </c>
    </row>
    <row r="38" spans="1:15" ht="14.4" x14ac:dyDescent="0.3">
      <c r="A38" s="2" t="s">
        <v>84</v>
      </c>
      <c r="B38" s="2" t="s">
        <v>31</v>
      </c>
      <c r="C38" s="2" t="s">
        <v>17</v>
      </c>
      <c r="D38" s="2" t="s">
        <v>18</v>
      </c>
      <c r="E38" s="3">
        <v>20</v>
      </c>
      <c r="F38" s="3">
        <v>13.8</v>
      </c>
      <c r="G38" s="3">
        <v>43</v>
      </c>
      <c r="H38" s="2"/>
      <c r="I38" s="3">
        <v>4</v>
      </c>
      <c r="J38" s="3">
        <v>3</v>
      </c>
      <c r="K38" s="2" t="s">
        <v>19</v>
      </c>
      <c r="L38" s="2" t="s">
        <v>27</v>
      </c>
      <c r="M38" s="3">
        <v>0</v>
      </c>
      <c r="N38" s="2" t="s">
        <v>60</v>
      </c>
      <c r="O38" s="3">
        <v>68.2</v>
      </c>
    </row>
    <row r="39" spans="1:15" ht="14.4" x14ac:dyDescent="0.3">
      <c r="A39" s="2" t="s">
        <v>85</v>
      </c>
      <c r="B39" s="2" t="s">
        <v>31</v>
      </c>
      <c r="C39" s="2" t="s">
        <v>48</v>
      </c>
      <c r="D39" s="2" t="s">
        <v>26</v>
      </c>
      <c r="E39" s="3">
        <v>24</v>
      </c>
      <c r="F39" s="3">
        <v>14</v>
      </c>
      <c r="G39" s="3">
        <v>30.2</v>
      </c>
      <c r="H39" s="3">
        <v>6.5</v>
      </c>
      <c r="I39" s="3">
        <v>4</v>
      </c>
      <c r="J39" s="3">
        <v>3</v>
      </c>
      <c r="K39" s="2" t="s">
        <v>19</v>
      </c>
      <c r="L39" s="2" t="s">
        <v>54</v>
      </c>
      <c r="M39" s="3">
        <v>1</v>
      </c>
      <c r="N39" s="2" t="s">
        <v>33</v>
      </c>
      <c r="O39" s="3">
        <v>72.900000000000006</v>
      </c>
    </row>
    <row r="40" spans="1:15" ht="14.4" x14ac:dyDescent="0.3">
      <c r="A40" s="2" t="s">
        <v>86</v>
      </c>
      <c r="B40" s="2" t="s">
        <v>31</v>
      </c>
      <c r="C40" s="2" t="s">
        <v>32</v>
      </c>
      <c r="D40" s="2" t="s">
        <v>26</v>
      </c>
      <c r="E40" s="3">
        <v>21</v>
      </c>
      <c r="F40" s="3">
        <v>16.5</v>
      </c>
      <c r="G40" s="3">
        <v>34.1</v>
      </c>
      <c r="H40" s="3">
        <v>5.5</v>
      </c>
      <c r="I40" s="3">
        <v>2</v>
      </c>
      <c r="J40" s="3">
        <v>3</v>
      </c>
      <c r="K40" s="2" t="s">
        <v>19</v>
      </c>
      <c r="L40" s="2" t="s">
        <v>20</v>
      </c>
      <c r="M40" s="3">
        <v>0</v>
      </c>
      <c r="N40" s="2" t="s">
        <v>21</v>
      </c>
      <c r="O40" s="3">
        <v>79.3</v>
      </c>
    </row>
    <row r="41" spans="1:15" ht="14.4" x14ac:dyDescent="0.3">
      <c r="A41" s="2" t="s">
        <v>87</v>
      </c>
      <c r="B41" s="2" t="s">
        <v>31</v>
      </c>
      <c r="C41" s="2" t="s">
        <v>25</v>
      </c>
      <c r="D41" s="2" t="s">
        <v>26</v>
      </c>
      <c r="E41" s="3">
        <v>23</v>
      </c>
      <c r="F41" s="3">
        <v>20.5</v>
      </c>
      <c r="G41" s="3">
        <v>62.9</v>
      </c>
      <c r="H41" s="3">
        <v>5.0999999999999996</v>
      </c>
      <c r="I41" s="3">
        <v>3</v>
      </c>
      <c r="J41" s="3">
        <v>5</v>
      </c>
      <c r="K41" s="2" t="s">
        <v>19</v>
      </c>
      <c r="L41" s="2" t="s">
        <v>59</v>
      </c>
      <c r="M41" s="3">
        <v>2</v>
      </c>
      <c r="N41" s="2" t="s">
        <v>49</v>
      </c>
      <c r="O41" s="3">
        <v>84.6</v>
      </c>
    </row>
    <row r="42" spans="1:15" ht="14.4" x14ac:dyDescent="0.3">
      <c r="A42" s="2" t="s">
        <v>88</v>
      </c>
      <c r="B42" s="2" t="s">
        <v>36</v>
      </c>
      <c r="C42" s="2" t="s">
        <v>48</v>
      </c>
      <c r="D42" s="2" t="s">
        <v>18</v>
      </c>
      <c r="E42" s="3">
        <v>23</v>
      </c>
      <c r="F42" s="3">
        <v>16.5</v>
      </c>
      <c r="G42" s="3">
        <v>66.599999999999994</v>
      </c>
      <c r="H42" s="3">
        <v>6.7</v>
      </c>
      <c r="I42" s="3">
        <v>6</v>
      </c>
      <c r="J42" s="3">
        <v>4</v>
      </c>
      <c r="K42" s="2" t="s">
        <v>19</v>
      </c>
      <c r="L42" s="2" t="s">
        <v>54</v>
      </c>
      <c r="M42" s="3">
        <v>0</v>
      </c>
      <c r="N42" s="2" t="s">
        <v>28</v>
      </c>
      <c r="O42" s="3">
        <v>77</v>
      </c>
    </row>
    <row r="43" spans="1:15" ht="14.4" x14ac:dyDescent="0.3">
      <c r="A43" s="2" t="s">
        <v>89</v>
      </c>
      <c r="B43" s="2" t="s">
        <v>47</v>
      </c>
      <c r="C43" s="2" t="s">
        <v>32</v>
      </c>
      <c r="D43" s="2" t="s">
        <v>18</v>
      </c>
      <c r="E43" s="3">
        <v>20</v>
      </c>
      <c r="F43" s="3">
        <v>21.2</v>
      </c>
      <c r="G43" s="3">
        <v>30.1</v>
      </c>
      <c r="H43" s="3">
        <v>4.9000000000000004</v>
      </c>
      <c r="I43" s="3">
        <v>3</v>
      </c>
      <c r="J43" s="3">
        <v>4</v>
      </c>
      <c r="K43" s="2" t="s">
        <v>19</v>
      </c>
      <c r="L43" s="2" t="s">
        <v>37</v>
      </c>
      <c r="M43" s="3">
        <v>0</v>
      </c>
      <c r="N43" s="2" t="s">
        <v>28</v>
      </c>
      <c r="O43" s="3">
        <v>80.400000000000006</v>
      </c>
    </row>
    <row r="44" spans="1:15" ht="14.4" x14ac:dyDescent="0.3">
      <c r="A44" s="2" t="s">
        <v>90</v>
      </c>
      <c r="B44" s="2" t="s">
        <v>24</v>
      </c>
      <c r="C44" s="2" t="s">
        <v>32</v>
      </c>
      <c r="D44" s="2" t="s">
        <v>26</v>
      </c>
      <c r="E44" s="3">
        <v>25</v>
      </c>
      <c r="F44" s="3">
        <v>27.4</v>
      </c>
      <c r="G44" s="3">
        <v>66.400000000000006</v>
      </c>
      <c r="H44" s="3">
        <v>7.1</v>
      </c>
      <c r="I44" s="3">
        <v>4</v>
      </c>
      <c r="J44" s="3">
        <v>4</v>
      </c>
      <c r="K44" s="2" t="s">
        <v>19</v>
      </c>
      <c r="L44" s="2" t="s">
        <v>37</v>
      </c>
      <c r="M44" s="3">
        <v>0</v>
      </c>
      <c r="N44" s="2" t="s">
        <v>60</v>
      </c>
      <c r="O44" s="3">
        <v>99.8</v>
      </c>
    </row>
    <row r="45" spans="1:15" ht="14.4" x14ac:dyDescent="0.3">
      <c r="A45" s="2" t="s">
        <v>91</v>
      </c>
      <c r="B45" s="2" t="s">
        <v>24</v>
      </c>
      <c r="C45" s="2" t="s">
        <v>48</v>
      </c>
      <c r="D45" s="2" t="s">
        <v>26</v>
      </c>
      <c r="E45" s="3">
        <v>26</v>
      </c>
      <c r="F45" s="3">
        <v>20.7</v>
      </c>
      <c r="G45" s="3">
        <v>11.8</v>
      </c>
      <c r="H45" s="3">
        <v>7.2</v>
      </c>
      <c r="I45" s="3">
        <v>3</v>
      </c>
      <c r="J45" s="3">
        <v>3</v>
      </c>
      <c r="K45" s="2" t="s">
        <v>19</v>
      </c>
      <c r="L45" s="2" t="s">
        <v>27</v>
      </c>
      <c r="M45" s="3">
        <v>0</v>
      </c>
      <c r="N45" s="2" t="s">
        <v>33</v>
      </c>
      <c r="O45" s="3">
        <v>83.6</v>
      </c>
    </row>
    <row r="46" spans="1:15" ht="14.4" x14ac:dyDescent="0.3">
      <c r="A46" s="2" t="s">
        <v>92</v>
      </c>
      <c r="B46" s="2" t="s">
        <v>31</v>
      </c>
      <c r="C46" s="2" t="s">
        <v>17</v>
      </c>
      <c r="D46" s="2" t="s">
        <v>18</v>
      </c>
      <c r="E46" s="3">
        <v>25</v>
      </c>
      <c r="F46" s="3">
        <v>17.399999999999999</v>
      </c>
      <c r="G46" s="3">
        <v>26.1</v>
      </c>
      <c r="H46" s="3">
        <v>6.4</v>
      </c>
      <c r="I46" s="3">
        <v>2</v>
      </c>
      <c r="J46" s="3">
        <v>5</v>
      </c>
      <c r="K46" s="2" t="s">
        <v>44</v>
      </c>
      <c r="L46" s="2" t="s">
        <v>27</v>
      </c>
      <c r="M46" s="3">
        <v>0</v>
      </c>
      <c r="N46" s="2" t="s">
        <v>33</v>
      </c>
      <c r="O46" s="3">
        <v>87.7</v>
      </c>
    </row>
    <row r="47" spans="1:15" ht="14.4" x14ac:dyDescent="0.3">
      <c r="A47" s="2" t="s">
        <v>93</v>
      </c>
      <c r="B47" s="2" t="s">
        <v>31</v>
      </c>
      <c r="C47" s="2" t="s">
        <v>25</v>
      </c>
      <c r="D47" s="2" t="s">
        <v>26</v>
      </c>
      <c r="E47" s="3">
        <v>25</v>
      </c>
      <c r="F47" s="3">
        <v>12.4</v>
      </c>
      <c r="G47" s="3">
        <v>71.599999999999994</v>
      </c>
      <c r="H47" s="3">
        <v>6.6</v>
      </c>
      <c r="I47" s="3">
        <v>3</v>
      </c>
      <c r="J47" s="3">
        <v>3</v>
      </c>
      <c r="K47" s="2" t="s">
        <v>19</v>
      </c>
      <c r="L47" s="2" t="s">
        <v>20</v>
      </c>
      <c r="M47" s="3">
        <v>1</v>
      </c>
      <c r="N47" s="2" t="s">
        <v>38</v>
      </c>
      <c r="O47" s="3">
        <v>74.3</v>
      </c>
    </row>
    <row r="48" spans="1:15" ht="14.4" x14ac:dyDescent="0.3">
      <c r="A48" s="2" t="s">
        <v>94</v>
      </c>
      <c r="B48" s="2" t="s">
        <v>24</v>
      </c>
      <c r="C48" s="2" t="s">
        <v>25</v>
      </c>
      <c r="D48" s="2" t="s">
        <v>26</v>
      </c>
      <c r="E48" s="3">
        <v>20</v>
      </c>
      <c r="F48" s="3">
        <v>11.3</v>
      </c>
      <c r="G48" s="3">
        <v>27.9</v>
      </c>
      <c r="H48" s="3">
        <v>7.9</v>
      </c>
      <c r="I48" s="3">
        <v>4</v>
      </c>
      <c r="J48" s="3">
        <v>4</v>
      </c>
      <c r="K48" s="2" t="s">
        <v>19</v>
      </c>
      <c r="L48" s="2" t="s">
        <v>20</v>
      </c>
      <c r="M48" s="3">
        <v>0</v>
      </c>
      <c r="N48" s="2" t="s">
        <v>28</v>
      </c>
      <c r="O48" s="3">
        <v>75.3</v>
      </c>
    </row>
    <row r="49" spans="1:15" ht="14.4" x14ac:dyDescent="0.3">
      <c r="A49" s="2" t="s">
        <v>95</v>
      </c>
      <c r="B49" s="2" t="s">
        <v>31</v>
      </c>
      <c r="C49" s="2" t="s">
        <v>71</v>
      </c>
      <c r="D49" s="2" t="s">
        <v>26</v>
      </c>
      <c r="E49" s="3">
        <v>22</v>
      </c>
      <c r="F49" s="3">
        <v>16.5</v>
      </c>
      <c r="G49" s="3">
        <v>43.3</v>
      </c>
      <c r="H49" s="3">
        <v>7.6</v>
      </c>
      <c r="I49" s="3">
        <v>2</v>
      </c>
      <c r="J49" s="3">
        <v>3</v>
      </c>
      <c r="K49" s="2" t="s">
        <v>19</v>
      </c>
      <c r="L49" s="2" t="s">
        <v>20</v>
      </c>
      <c r="M49" s="3">
        <v>1</v>
      </c>
      <c r="N49" s="2" t="s">
        <v>21</v>
      </c>
      <c r="O49" s="3">
        <v>79.3</v>
      </c>
    </row>
    <row r="50" spans="1:15" ht="14.4" x14ac:dyDescent="0.3">
      <c r="A50" s="2" t="s">
        <v>96</v>
      </c>
      <c r="B50" s="2" t="s">
        <v>24</v>
      </c>
      <c r="C50" s="2" t="s">
        <v>32</v>
      </c>
      <c r="D50" s="2" t="s">
        <v>18</v>
      </c>
      <c r="E50" s="3">
        <v>24</v>
      </c>
      <c r="F50" s="3">
        <v>8.1</v>
      </c>
      <c r="G50" s="3">
        <v>35</v>
      </c>
      <c r="H50" s="3">
        <v>6.2</v>
      </c>
      <c r="I50" s="3">
        <v>4</v>
      </c>
      <c r="J50" s="2"/>
      <c r="K50" s="2" t="s">
        <v>19</v>
      </c>
      <c r="L50" s="2" t="s">
        <v>27</v>
      </c>
      <c r="M50" s="3">
        <v>0</v>
      </c>
      <c r="N50" s="2" t="s">
        <v>33</v>
      </c>
      <c r="O50" s="3">
        <v>69.2</v>
      </c>
    </row>
    <row r="51" spans="1:15" ht="14.4" x14ac:dyDescent="0.3">
      <c r="A51" s="2" t="s">
        <v>97</v>
      </c>
      <c r="B51" s="2" t="s">
        <v>31</v>
      </c>
      <c r="C51" s="2" t="s">
        <v>32</v>
      </c>
      <c r="D51" s="2" t="s">
        <v>26</v>
      </c>
      <c r="E51" s="3">
        <v>27</v>
      </c>
      <c r="F51" s="3">
        <v>21.9</v>
      </c>
      <c r="G51" s="3">
        <v>22.8</v>
      </c>
      <c r="H51" s="3">
        <v>6.7</v>
      </c>
      <c r="I51" s="3">
        <v>5</v>
      </c>
      <c r="J51" s="3">
        <v>5</v>
      </c>
      <c r="K51" s="2" t="s">
        <v>19</v>
      </c>
      <c r="L51" s="2" t="s">
        <v>27</v>
      </c>
      <c r="M51" s="3">
        <v>0</v>
      </c>
      <c r="N51" s="2" t="s">
        <v>38</v>
      </c>
      <c r="O51" s="3">
        <v>87.7</v>
      </c>
    </row>
    <row r="52" spans="1:15" ht="14.4" x14ac:dyDescent="0.3">
      <c r="A52" s="2" t="s">
        <v>98</v>
      </c>
      <c r="B52" s="2" t="s">
        <v>31</v>
      </c>
      <c r="C52" s="2" t="s">
        <v>71</v>
      </c>
      <c r="D52" s="2" t="s">
        <v>18</v>
      </c>
      <c r="E52" s="3">
        <v>24</v>
      </c>
      <c r="F52" s="3">
        <v>13.7</v>
      </c>
      <c r="G52" s="3">
        <v>111.7</v>
      </c>
      <c r="H52" s="3">
        <v>6.9</v>
      </c>
      <c r="I52" s="3">
        <v>1</v>
      </c>
      <c r="J52" s="3">
        <v>3</v>
      </c>
      <c r="K52" s="2" t="s">
        <v>19</v>
      </c>
      <c r="L52" s="2" t="s">
        <v>27</v>
      </c>
      <c r="M52" s="3">
        <v>2</v>
      </c>
      <c r="N52" s="2" t="s">
        <v>60</v>
      </c>
      <c r="O52" s="3">
        <v>69.400000000000006</v>
      </c>
    </row>
    <row r="53" spans="1:15" ht="14.4" x14ac:dyDescent="0.3">
      <c r="A53" s="2" t="s">
        <v>99</v>
      </c>
      <c r="B53" s="2" t="s">
        <v>36</v>
      </c>
      <c r="C53" s="2" t="s">
        <v>32</v>
      </c>
      <c r="D53" s="2" t="s">
        <v>26</v>
      </c>
      <c r="E53" s="3">
        <v>22</v>
      </c>
      <c r="F53" s="3">
        <v>21</v>
      </c>
      <c r="G53" s="3">
        <v>21.1</v>
      </c>
      <c r="H53" s="3">
        <v>6.1</v>
      </c>
      <c r="I53" s="3">
        <v>6</v>
      </c>
      <c r="J53" s="3">
        <v>4</v>
      </c>
      <c r="K53" s="2" t="s">
        <v>19</v>
      </c>
      <c r="L53" s="2" t="s">
        <v>54</v>
      </c>
      <c r="M53" s="3">
        <v>1</v>
      </c>
      <c r="N53" s="2" t="s">
        <v>21</v>
      </c>
      <c r="O53" s="3">
        <v>88.2</v>
      </c>
    </row>
    <row r="54" spans="1:15" ht="14.4" x14ac:dyDescent="0.3">
      <c r="A54" s="2" t="s">
        <v>100</v>
      </c>
      <c r="B54" s="2" t="s">
        <v>24</v>
      </c>
      <c r="C54" s="2" t="s">
        <v>17</v>
      </c>
      <c r="D54" s="2" t="s">
        <v>26</v>
      </c>
      <c r="E54" s="3">
        <v>24</v>
      </c>
      <c r="F54" s="3">
        <v>19.5</v>
      </c>
      <c r="G54" s="3">
        <v>36.4</v>
      </c>
      <c r="H54" s="3">
        <v>7.3</v>
      </c>
      <c r="I54" s="3">
        <v>2</v>
      </c>
      <c r="J54" s="3">
        <v>3</v>
      </c>
      <c r="K54" s="2" t="s">
        <v>19</v>
      </c>
      <c r="L54" s="2" t="s">
        <v>54</v>
      </c>
      <c r="M54" s="3">
        <v>0</v>
      </c>
      <c r="N54" s="2" t="s">
        <v>60</v>
      </c>
      <c r="O54" s="3">
        <v>88.2</v>
      </c>
    </row>
    <row r="55" spans="1:15" ht="14.4" x14ac:dyDescent="0.3">
      <c r="A55" s="2" t="s">
        <v>101</v>
      </c>
      <c r="B55" s="2" t="s">
        <v>31</v>
      </c>
      <c r="C55" s="2" t="s">
        <v>32</v>
      </c>
      <c r="D55" s="2" t="s">
        <v>18</v>
      </c>
      <c r="E55" s="3">
        <v>22</v>
      </c>
      <c r="F55" s="3">
        <v>6.4</v>
      </c>
      <c r="G55" s="3">
        <v>17.100000000000001</v>
      </c>
      <c r="H55" s="3">
        <v>7</v>
      </c>
      <c r="I55" s="3">
        <v>4</v>
      </c>
      <c r="J55" s="3">
        <v>3</v>
      </c>
      <c r="K55" s="2" t="s">
        <v>19</v>
      </c>
      <c r="L55" s="2" t="s">
        <v>54</v>
      </c>
      <c r="M55" s="3">
        <v>0</v>
      </c>
      <c r="N55" s="2" t="s">
        <v>33</v>
      </c>
      <c r="O55" s="3">
        <v>66.900000000000006</v>
      </c>
    </row>
    <row r="56" spans="1:15" ht="14.4" x14ac:dyDescent="0.3">
      <c r="A56" s="2" t="s">
        <v>102</v>
      </c>
      <c r="B56" s="2" t="s">
        <v>31</v>
      </c>
      <c r="C56" s="2" t="s">
        <v>32</v>
      </c>
      <c r="D56" s="2" t="s">
        <v>18</v>
      </c>
      <c r="E56" s="3">
        <v>22</v>
      </c>
      <c r="F56" s="3">
        <v>23.2</v>
      </c>
      <c r="G56" s="3">
        <v>33</v>
      </c>
      <c r="H56" s="3">
        <v>9.5</v>
      </c>
      <c r="I56" s="3">
        <v>3</v>
      </c>
      <c r="J56" s="3">
        <v>3</v>
      </c>
      <c r="K56" s="2" t="s">
        <v>19</v>
      </c>
      <c r="L56" s="2" t="s">
        <v>27</v>
      </c>
      <c r="M56" s="3">
        <v>0</v>
      </c>
      <c r="N56" s="2" t="s">
        <v>60</v>
      </c>
      <c r="O56" s="3">
        <v>100</v>
      </c>
    </row>
    <row r="57" spans="1:15" ht="14.4" x14ac:dyDescent="0.3">
      <c r="A57" s="2" t="s">
        <v>103</v>
      </c>
      <c r="B57" s="2" t="s">
        <v>31</v>
      </c>
      <c r="C57" s="2" t="s">
        <v>32</v>
      </c>
      <c r="D57" s="2" t="s">
        <v>18</v>
      </c>
      <c r="E57" s="3">
        <v>21</v>
      </c>
      <c r="F57" s="3">
        <v>22.8</v>
      </c>
      <c r="G57" s="3">
        <v>142.30000000000001</v>
      </c>
      <c r="H57" s="3">
        <v>7.1</v>
      </c>
      <c r="I57" s="3">
        <v>2</v>
      </c>
      <c r="J57" s="3">
        <v>4</v>
      </c>
      <c r="K57" s="2" t="s">
        <v>44</v>
      </c>
      <c r="L57" s="2" t="s">
        <v>37</v>
      </c>
      <c r="M57" s="3">
        <v>1</v>
      </c>
      <c r="N57" s="2" t="s">
        <v>38</v>
      </c>
      <c r="O57" s="3">
        <v>85.3</v>
      </c>
    </row>
    <row r="58" spans="1:15" ht="14.4" x14ac:dyDescent="0.3">
      <c r="A58" s="2" t="s">
        <v>104</v>
      </c>
      <c r="B58" s="2" t="s">
        <v>47</v>
      </c>
      <c r="C58" s="2" t="s">
        <v>32</v>
      </c>
      <c r="D58" s="2" t="s">
        <v>26</v>
      </c>
      <c r="E58" s="3">
        <v>23</v>
      </c>
      <c r="F58" s="3">
        <v>22.8</v>
      </c>
      <c r="G58" s="3">
        <v>16.100000000000001</v>
      </c>
      <c r="H58" s="3">
        <v>7.5</v>
      </c>
      <c r="I58" s="3">
        <v>0</v>
      </c>
      <c r="J58" s="3">
        <v>3</v>
      </c>
      <c r="K58" s="2" t="s">
        <v>44</v>
      </c>
      <c r="L58" s="2" t="s">
        <v>27</v>
      </c>
      <c r="M58" s="3">
        <v>2</v>
      </c>
      <c r="N58" s="2" t="s">
        <v>21</v>
      </c>
      <c r="O58" s="3">
        <v>84.1</v>
      </c>
    </row>
    <row r="59" spans="1:15" ht="14.4" x14ac:dyDescent="0.3">
      <c r="A59" s="2" t="s">
        <v>105</v>
      </c>
      <c r="B59" s="2" t="s">
        <v>24</v>
      </c>
      <c r="C59" s="2" t="s">
        <v>17</v>
      </c>
      <c r="D59" s="2" t="s">
        <v>26</v>
      </c>
      <c r="E59" s="3">
        <v>28</v>
      </c>
      <c r="F59" s="3">
        <v>8.6999999999999993</v>
      </c>
      <c r="G59" s="3">
        <v>63.8</v>
      </c>
      <c r="H59" s="2"/>
      <c r="I59" s="3">
        <v>4</v>
      </c>
      <c r="J59" s="3">
        <v>3</v>
      </c>
      <c r="K59" s="2" t="s">
        <v>44</v>
      </c>
      <c r="L59" s="2" t="s">
        <v>20</v>
      </c>
      <c r="M59" s="3">
        <v>0</v>
      </c>
      <c r="N59" s="2" t="s">
        <v>38</v>
      </c>
      <c r="O59" s="3">
        <v>73.3</v>
      </c>
    </row>
    <row r="60" spans="1:15" ht="14.4" x14ac:dyDescent="0.3">
      <c r="A60" s="2" t="s">
        <v>106</v>
      </c>
      <c r="B60" s="2" t="s">
        <v>24</v>
      </c>
      <c r="C60" s="2" t="s">
        <v>17</v>
      </c>
      <c r="D60" s="2" t="s">
        <v>18</v>
      </c>
      <c r="E60" s="3">
        <v>22</v>
      </c>
      <c r="F60" s="3">
        <v>15</v>
      </c>
      <c r="G60" s="3">
        <v>68.2</v>
      </c>
      <c r="H60" s="3">
        <v>8.1</v>
      </c>
      <c r="I60" s="3">
        <v>2</v>
      </c>
      <c r="J60" s="3">
        <v>2</v>
      </c>
      <c r="K60" s="2" t="s">
        <v>19</v>
      </c>
      <c r="L60" s="2" t="s">
        <v>54</v>
      </c>
      <c r="M60" s="3">
        <v>3</v>
      </c>
      <c r="N60" s="2" t="s">
        <v>60</v>
      </c>
      <c r="O60" s="3">
        <v>75.2</v>
      </c>
    </row>
    <row r="61" spans="1:15" ht="14.4" x14ac:dyDescent="0.3">
      <c r="A61" s="2" t="s">
        <v>107</v>
      </c>
      <c r="B61" s="2" t="s">
        <v>24</v>
      </c>
      <c r="C61" s="2" t="s">
        <v>32</v>
      </c>
      <c r="D61" s="2" t="s">
        <v>18</v>
      </c>
      <c r="E61" s="3">
        <v>24</v>
      </c>
      <c r="F61" s="3">
        <v>17.8</v>
      </c>
      <c r="G61" s="3">
        <v>25.1</v>
      </c>
      <c r="H61" s="3">
        <v>6.9</v>
      </c>
      <c r="I61" s="3">
        <v>2</v>
      </c>
      <c r="J61" s="3">
        <v>4</v>
      </c>
      <c r="K61" s="2" t="s">
        <v>44</v>
      </c>
      <c r="L61" s="2" t="s">
        <v>54</v>
      </c>
      <c r="M61" s="3">
        <v>0</v>
      </c>
      <c r="N61" s="2" t="s">
        <v>28</v>
      </c>
      <c r="O61" s="3">
        <v>83.1</v>
      </c>
    </row>
    <row r="62" spans="1:15" ht="14.4" x14ac:dyDescent="0.3">
      <c r="A62" s="2" t="s">
        <v>108</v>
      </c>
      <c r="B62" s="2" t="s">
        <v>16</v>
      </c>
      <c r="C62" s="2" t="s">
        <v>32</v>
      </c>
      <c r="D62" s="2" t="s">
        <v>26</v>
      </c>
      <c r="E62" s="3">
        <v>28</v>
      </c>
      <c r="F62" s="3">
        <v>27.4</v>
      </c>
      <c r="G62" s="2"/>
      <c r="H62" s="3">
        <v>7.5</v>
      </c>
      <c r="I62" s="3">
        <v>3</v>
      </c>
      <c r="J62" s="3">
        <v>4</v>
      </c>
      <c r="K62" s="2" t="s">
        <v>19</v>
      </c>
      <c r="L62" s="2" t="s">
        <v>27</v>
      </c>
      <c r="M62" s="3">
        <v>1</v>
      </c>
      <c r="N62" s="2" t="s">
        <v>49</v>
      </c>
      <c r="O62" s="3">
        <v>100</v>
      </c>
    </row>
    <row r="63" spans="1:15" ht="14.4" x14ac:dyDescent="0.3">
      <c r="A63" s="2" t="s">
        <v>109</v>
      </c>
      <c r="B63" s="2" t="s">
        <v>47</v>
      </c>
      <c r="C63" s="2" t="s">
        <v>71</v>
      </c>
      <c r="D63" s="2" t="s">
        <v>18</v>
      </c>
      <c r="E63" s="3">
        <v>24</v>
      </c>
      <c r="F63" s="3">
        <v>8</v>
      </c>
      <c r="G63" s="3">
        <v>16.8</v>
      </c>
      <c r="H63" s="3">
        <v>6.8</v>
      </c>
      <c r="I63" s="3">
        <v>2</v>
      </c>
      <c r="J63" s="3">
        <v>4</v>
      </c>
      <c r="K63" s="2" t="s">
        <v>19</v>
      </c>
      <c r="L63" s="2" t="s">
        <v>37</v>
      </c>
      <c r="M63" s="3">
        <v>3</v>
      </c>
      <c r="N63" s="2" t="s">
        <v>60</v>
      </c>
      <c r="O63" s="3">
        <v>73.3</v>
      </c>
    </row>
    <row r="64" spans="1:15" ht="14.4" x14ac:dyDescent="0.3">
      <c r="A64" s="2" t="s">
        <v>110</v>
      </c>
      <c r="B64" s="2" t="s">
        <v>31</v>
      </c>
      <c r="C64" s="2" t="s">
        <v>32</v>
      </c>
      <c r="D64" s="2" t="s">
        <v>26</v>
      </c>
      <c r="E64" s="3">
        <v>21</v>
      </c>
      <c r="F64" s="3">
        <v>23.7</v>
      </c>
      <c r="G64" s="3">
        <v>37.9</v>
      </c>
      <c r="H64" s="3">
        <v>5.9</v>
      </c>
      <c r="I64" s="3">
        <v>4</v>
      </c>
      <c r="J64" s="3">
        <v>5</v>
      </c>
      <c r="K64" s="2" t="s">
        <v>19</v>
      </c>
      <c r="L64" s="2" t="s">
        <v>59</v>
      </c>
      <c r="M64" s="3">
        <v>0</v>
      </c>
      <c r="N64" s="2" t="s">
        <v>38</v>
      </c>
      <c r="O64" s="3">
        <v>90.5</v>
      </c>
    </row>
    <row r="65" spans="1:15" ht="14.4" x14ac:dyDescent="0.3">
      <c r="A65" s="2" t="s">
        <v>111</v>
      </c>
      <c r="B65" s="2" t="s">
        <v>36</v>
      </c>
      <c r="C65" s="2" t="s">
        <v>25</v>
      </c>
      <c r="D65" s="2" t="s">
        <v>26</v>
      </c>
      <c r="E65" s="3">
        <v>23</v>
      </c>
      <c r="F65" s="3">
        <v>23.3</v>
      </c>
      <c r="G65" s="3">
        <v>33.200000000000003</v>
      </c>
      <c r="H65" s="3">
        <v>6</v>
      </c>
      <c r="I65" s="3">
        <v>1</v>
      </c>
      <c r="J65" s="3">
        <v>2</v>
      </c>
      <c r="K65" s="2" t="s">
        <v>19</v>
      </c>
      <c r="L65" s="2" t="s">
        <v>27</v>
      </c>
      <c r="M65" s="3">
        <v>0</v>
      </c>
      <c r="N65" s="2" t="s">
        <v>33</v>
      </c>
      <c r="O65" s="3">
        <v>61.5</v>
      </c>
    </row>
    <row r="66" spans="1:15" ht="14.4" x14ac:dyDescent="0.3">
      <c r="A66" s="2" t="s">
        <v>112</v>
      </c>
      <c r="B66" s="2" t="s">
        <v>16</v>
      </c>
      <c r="C66" s="2" t="s">
        <v>25</v>
      </c>
      <c r="D66" s="2" t="s">
        <v>26</v>
      </c>
      <c r="E66" s="3">
        <v>24</v>
      </c>
      <c r="F66" s="3">
        <v>15.2</v>
      </c>
      <c r="G66" s="3">
        <v>24</v>
      </c>
      <c r="H66" s="3">
        <v>8.6999999999999993</v>
      </c>
      <c r="I66" s="3">
        <v>2</v>
      </c>
      <c r="J66" s="2"/>
      <c r="K66" s="2" t="s">
        <v>19</v>
      </c>
      <c r="L66" s="2" t="s">
        <v>27</v>
      </c>
      <c r="M66" s="3">
        <v>4</v>
      </c>
      <c r="N66" s="2" t="s">
        <v>60</v>
      </c>
      <c r="O66" s="3">
        <v>84.9</v>
      </c>
    </row>
    <row r="67" spans="1:15" ht="14.4" x14ac:dyDescent="0.3">
      <c r="A67" s="2" t="s">
        <v>113</v>
      </c>
      <c r="B67" s="2" t="s">
        <v>24</v>
      </c>
      <c r="C67" s="2" t="s">
        <v>17</v>
      </c>
      <c r="D67" s="2" t="s">
        <v>26</v>
      </c>
      <c r="E67" s="3">
        <v>21</v>
      </c>
      <c r="F67" s="3">
        <v>14.5</v>
      </c>
      <c r="G67" s="3">
        <v>13.2</v>
      </c>
      <c r="H67" s="3">
        <v>9.5</v>
      </c>
      <c r="I67" s="3">
        <v>3</v>
      </c>
      <c r="J67" s="3">
        <v>3</v>
      </c>
      <c r="K67" s="2" t="s">
        <v>19</v>
      </c>
      <c r="L67" s="2" t="s">
        <v>59</v>
      </c>
      <c r="M67" s="3">
        <v>3</v>
      </c>
      <c r="N67" s="2" t="s">
        <v>33</v>
      </c>
      <c r="O67" s="3">
        <v>92.3</v>
      </c>
    </row>
    <row r="68" spans="1:15" ht="14.4" x14ac:dyDescent="0.3">
      <c r="A68" s="2" t="s">
        <v>114</v>
      </c>
      <c r="B68" s="2" t="s">
        <v>36</v>
      </c>
      <c r="C68" s="2" t="s">
        <v>71</v>
      </c>
      <c r="D68" s="2" t="s">
        <v>26</v>
      </c>
      <c r="E68" s="3">
        <v>20</v>
      </c>
      <c r="F68" s="3">
        <v>17.100000000000001</v>
      </c>
      <c r="G68" s="3">
        <v>17.600000000000001</v>
      </c>
      <c r="H68" s="3">
        <v>8.9</v>
      </c>
      <c r="I68" s="3">
        <v>5</v>
      </c>
      <c r="J68" s="3">
        <v>2</v>
      </c>
      <c r="K68" s="2" t="s">
        <v>19</v>
      </c>
      <c r="L68" s="2" t="s">
        <v>27</v>
      </c>
      <c r="M68" s="3">
        <v>2</v>
      </c>
      <c r="N68" s="2" t="s">
        <v>60</v>
      </c>
      <c r="O68" s="3">
        <v>94.9</v>
      </c>
    </row>
    <row r="69" spans="1:15" ht="14.4" x14ac:dyDescent="0.3">
      <c r="A69" s="2" t="s">
        <v>115</v>
      </c>
      <c r="B69" s="2" t="s">
        <v>16</v>
      </c>
      <c r="C69" s="2" t="s">
        <v>32</v>
      </c>
      <c r="D69" s="2" t="s">
        <v>26</v>
      </c>
      <c r="E69" s="3">
        <v>23</v>
      </c>
      <c r="F69" s="3">
        <v>24.3</v>
      </c>
      <c r="G69" s="3">
        <v>5</v>
      </c>
      <c r="H69" s="3">
        <v>6</v>
      </c>
      <c r="I69" s="3">
        <v>5</v>
      </c>
      <c r="J69" s="3">
        <v>5</v>
      </c>
      <c r="K69" s="2" t="s">
        <v>44</v>
      </c>
      <c r="L69" s="2" t="s">
        <v>54</v>
      </c>
      <c r="M69" s="3">
        <v>1</v>
      </c>
      <c r="N69" s="2" t="s">
        <v>33</v>
      </c>
      <c r="O69" s="3">
        <v>91.6</v>
      </c>
    </row>
    <row r="70" spans="1:15" ht="14.4" x14ac:dyDescent="0.3">
      <c r="A70" s="2" t="s">
        <v>116</v>
      </c>
      <c r="B70" s="2" t="s">
        <v>36</v>
      </c>
      <c r="C70" s="2" t="s">
        <v>25</v>
      </c>
      <c r="D70" s="2" t="s">
        <v>26</v>
      </c>
      <c r="E70" s="3">
        <v>21</v>
      </c>
      <c r="F70" s="3">
        <v>24.4</v>
      </c>
      <c r="G70" s="3">
        <v>190.2</v>
      </c>
      <c r="H70" s="3">
        <v>6.3</v>
      </c>
      <c r="I70" s="3">
        <v>5</v>
      </c>
      <c r="J70" s="3">
        <v>2</v>
      </c>
      <c r="K70" s="2" t="s">
        <v>44</v>
      </c>
      <c r="L70" s="2" t="s">
        <v>37</v>
      </c>
      <c r="M70" s="3">
        <v>0</v>
      </c>
      <c r="N70" s="2" t="s">
        <v>28</v>
      </c>
      <c r="O70" s="3">
        <v>85.6</v>
      </c>
    </row>
    <row r="71" spans="1:15" ht="14.4" x14ac:dyDescent="0.3">
      <c r="A71" s="2" t="s">
        <v>117</v>
      </c>
      <c r="B71" s="2" t="s">
        <v>47</v>
      </c>
      <c r="C71" s="2" t="s">
        <v>17</v>
      </c>
      <c r="D71" s="2" t="s">
        <v>26</v>
      </c>
      <c r="E71" s="3">
        <v>24</v>
      </c>
      <c r="F71" s="3">
        <v>21.8</v>
      </c>
      <c r="G71" s="3">
        <v>105.1</v>
      </c>
      <c r="H71" s="3">
        <v>7</v>
      </c>
      <c r="I71" s="3">
        <v>4</v>
      </c>
      <c r="J71" s="3">
        <v>4</v>
      </c>
      <c r="K71" s="2" t="s">
        <v>44</v>
      </c>
      <c r="L71" s="2" t="s">
        <v>54</v>
      </c>
      <c r="M71" s="3">
        <v>0</v>
      </c>
      <c r="N71" s="2" t="s">
        <v>21</v>
      </c>
      <c r="O71" s="3">
        <v>87</v>
      </c>
    </row>
    <row r="72" spans="1:15" ht="14.4" x14ac:dyDescent="0.3">
      <c r="A72" s="2" t="s">
        <v>118</v>
      </c>
      <c r="B72" s="2" t="s">
        <v>24</v>
      </c>
      <c r="C72" s="2" t="s">
        <v>32</v>
      </c>
      <c r="D72" s="2" t="s">
        <v>18</v>
      </c>
      <c r="E72" s="3">
        <v>25</v>
      </c>
      <c r="F72" s="3">
        <v>23.8</v>
      </c>
      <c r="G72" s="3">
        <v>25.9</v>
      </c>
      <c r="H72" s="3">
        <v>5</v>
      </c>
      <c r="I72" s="3">
        <v>2</v>
      </c>
      <c r="J72" s="3">
        <v>3</v>
      </c>
      <c r="K72" s="2" t="s">
        <v>19</v>
      </c>
      <c r="L72" s="2" t="s">
        <v>20</v>
      </c>
      <c r="M72" s="3">
        <v>0</v>
      </c>
      <c r="N72" s="2" t="s">
        <v>28</v>
      </c>
      <c r="O72" s="3">
        <v>80.3</v>
      </c>
    </row>
    <row r="73" spans="1:15" ht="14.4" x14ac:dyDescent="0.3">
      <c r="A73" s="2" t="s">
        <v>119</v>
      </c>
      <c r="B73" s="2" t="s">
        <v>31</v>
      </c>
      <c r="C73" s="2" t="s">
        <v>32</v>
      </c>
      <c r="D73" s="2" t="s">
        <v>26</v>
      </c>
      <c r="E73" s="3">
        <v>20</v>
      </c>
      <c r="F73" s="3">
        <v>16.100000000000001</v>
      </c>
      <c r="G73" s="3">
        <v>55.7</v>
      </c>
      <c r="H73" s="3">
        <v>5.9</v>
      </c>
      <c r="I73" s="3">
        <v>0</v>
      </c>
      <c r="J73" s="3">
        <v>4</v>
      </c>
      <c r="K73" s="2" t="s">
        <v>44</v>
      </c>
      <c r="L73" s="2" t="s">
        <v>37</v>
      </c>
      <c r="M73" s="3">
        <v>0</v>
      </c>
      <c r="N73" s="2" t="s">
        <v>60</v>
      </c>
      <c r="O73" s="3">
        <v>76.599999999999994</v>
      </c>
    </row>
    <row r="74" spans="1:15" ht="14.4" x14ac:dyDescent="0.3">
      <c r="A74" s="2" t="s">
        <v>120</v>
      </c>
      <c r="B74" s="2" t="s">
        <v>47</v>
      </c>
      <c r="C74" s="2" t="s">
        <v>71</v>
      </c>
      <c r="D74" s="2" t="s">
        <v>18</v>
      </c>
      <c r="E74" s="3">
        <v>22</v>
      </c>
      <c r="F74" s="3">
        <v>18.100000000000001</v>
      </c>
      <c r="G74" s="3">
        <v>59.3</v>
      </c>
      <c r="H74" s="3">
        <v>8.3000000000000007</v>
      </c>
      <c r="I74" s="3">
        <v>5</v>
      </c>
      <c r="J74" s="3">
        <v>2</v>
      </c>
      <c r="K74" s="2" t="s">
        <v>19</v>
      </c>
      <c r="L74" s="2" t="s">
        <v>27</v>
      </c>
      <c r="M74" s="3">
        <v>2</v>
      </c>
      <c r="N74" s="2" t="s">
        <v>33</v>
      </c>
      <c r="O74" s="3">
        <v>83.8</v>
      </c>
    </row>
    <row r="75" spans="1:15" ht="14.4" x14ac:dyDescent="0.3">
      <c r="A75" s="2" t="s">
        <v>121</v>
      </c>
      <c r="B75" s="2" t="s">
        <v>47</v>
      </c>
      <c r="C75" s="2" t="s">
        <v>32</v>
      </c>
      <c r="D75" s="2" t="s">
        <v>26</v>
      </c>
      <c r="E75" s="3">
        <v>25</v>
      </c>
      <c r="F75" s="3">
        <v>16.600000000000001</v>
      </c>
      <c r="G75" s="3">
        <v>44.1</v>
      </c>
      <c r="H75" s="3">
        <v>6.6</v>
      </c>
      <c r="I75" s="3">
        <v>3</v>
      </c>
      <c r="J75" s="3">
        <v>5</v>
      </c>
      <c r="K75" s="2" t="s">
        <v>44</v>
      </c>
      <c r="L75" s="2" t="s">
        <v>27</v>
      </c>
      <c r="M75" s="3">
        <v>0</v>
      </c>
      <c r="N75" s="2" t="s">
        <v>33</v>
      </c>
      <c r="O75" s="3">
        <v>79.5</v>
      </c>
    </row>
    <row r="76" spans="1:15" ht="14.4" x14ac:dyDescent="0.3">
      <c r="A76" s="2" t="s">
        <v>122</v>
      </c>
      <c r="B76" s="2" t="s">
        <v>31</v>
      </c>
      <c r="C76" s="2" t="s">
        <v>71</v>
      </c>
      <c r="D76" s="2" t="s">
        <v>26</v>
      </c>
      <c r="E76" s="3">
        <v>24</v>
      </c>
      <c r="F76" s="3">
        <v>16.5</v>
      </c>
      <c r="G76" s="3">
        <v>83</v>
      </c>
      <c r="H76" s="3">
        <v>8.1</v>
      </c>
      <c r="I76" s="3">
        <v>2</v>
      </c>
      <c r="J76" s="3">
        <v>4</v>
      </c>
      <c r="K76" s="2" t="s">
        <v>19</v>
      </c>
      <c r="L76" s="2" t="s">
        <v>54</v>
      </c>
      <c r="M76" s="3">
        <v>0</v>
      </c>
      <c r="N76" s="2" t="s">
        <v>60</v>
      </c>
      <c r="O76" s="3">
        <v>90</v>
      </c>
    </row>
    <row r="77" spans="1:15" ht="14.4" x14ac:dyDescent="0.3">
      <c r="A77" s="2" t="s">
        <v>123</v>
      </c>
      <c r="B77" s="2" t="s">
        <v>36</v>
      </c>
      <c r="C77" s="2" t="s">
        <v>71</v>
      </c>
      <c r="D77" s="2" t="s">
        <v>26</v>
      </c>
      <c r="E77" s="3">
        <v>26</v>
      </c>
      <c r="F77" s="3">
        <v>18.8</v>
      </c>
      <c r="G77" s="3">
        <v>32.6</v>
      </c>
      <c r="H77" s="2"/>
      <c r="I77" s="3">
        <v>1</v>
      </c>
      <c r="J77" s="3">
        <v>5</v>
      </c>
      <c r="K77" s="2" t="s">
        <v>19</v>
      </c>
      <c r="L77" s="2" t="s">
        <v>59</v>
      </c>
      <c r="M77" s="3">
        <v>2</v>
      </c>
      <c r="N77" s="2" t="s">
        <v>33</v>
      </c>
      <c r="O77" s="3">
        <v>78.900000000000006</v>
      </c>
    </row>
    <row r="78" spans="1:15" ht="14.4" x14ac:dyDescent="0.3">
      <c r="A78" s="2" t="s">
        <v>124</v>
      </c>
      <c r="B78" s="2" t="s">
        <v>47</v>
      </c>
      <c r="C78" s="2" t="s">
        <v>48</v>
      </c>
      <c r="D78" s="2" t="s">
        <v>26</v>
      </c>
      <c r="E78" s="3">
        <v>22</v>
      </c>
      <c r="F78" s="3">
        <v>19.3</v>
      </c>
      <c r="G78" s="3">
        <v>209.8</v>
      </c>
      <c r="H78" s="3">
        <v>7</v>
      </c>
      <c r="I78" s="3">
        <v>6</v>
      </c>
      <c r="J78" s="3">
        <v>3</v>
      </c>
      <c r="K78" s="2" t="s">
        <v>19</v>
      </c>
      <c r="L78" s="2" t="s">
        <v>27</v>
      </c>
      <c r="M78" s="3">
        <v>0</v>
      </c>
      <c r="N78" s="2" t="s">
        <v>60</v>
      </c>
      <c r="O78" s="2"/>
    </row>
    <row r="79" spans="1:15" ht="14.4" x14ac:dyDescent="0.3">
      <c r="A79" s="2" t="s">
        <v>125</v>
      </c>
      <c r="B79" s="2" t="s">
        <v>36</v>
      </c>
      <c r="C79" s="2" t="s">
        <v>25</v>
      </c>
      <c r="D79" s="2" t="s">
        <v>26</v>
      </c>
      <c r="E79" s="3">
        <v>25</v>
      </c>
      <c r="F79" s="3">
        <v>24.7</v>
      </c>
      <c r="G79" s="3">
        <v>34.1</v>
      </c>
      <c r="H79" s="3">
        <v>8.5</v>
      </c>
      <c r="I79" s="3">
        <v>4</v>
      </c>
      <c r="J79" s="3">
        <v>5</v>
      </c>
      <c r="K79" s="2" t="s">
        <v>19</v>
      </c>
      <c r="L79" s="2" t="s">
        <v>54</v>
      </c>
      <c r="M79" s="3">
        <v>3</v>
      </c>
      <c r="N79" s="2" t="s">
        <v>28</v>
      </c>
      <c r="O79" s="3">
        <v>96.4</v>
      </c>
    </row>
    <row r="80" spans="1:15" ht="14.4" x14ac:dyDescent="0.3">
      <c r="A80" s="2" t="s">
        <v>126</v>
      </c>
      <c r="B80" s="2" t="s">
        <v>16</v>
      </c>
      <c r="C80" s="2" t="s">
        <v>32</v>
      </c>
      <c r="D80" s="2" t="s">
        <v>26</v>
      </c>
      <c r="E80" s="3">
        <v>22</v>
      </c>
      <c r="F80" s="2"/>
      <c r="G80" s="3">
        <v>58.4</v>
      </c>
      <c r="H80" s="3">
        <v>7.1</v>
      </c>
      <c r="I80" s="3">
        <v>4</v>
      </c>
      <c r="J80" s="3">
        <v>5</v>
      </c>
      <c r="K80" s="2" t="s">
        <v>19</v>
      </c>
      <c r="L80" s="2" t="s">
        <v>20</v>
      </c>
      <c r="M80" s="3">
        <v>0</v>
      </c>
      <c r="N80" s="2" t="s">
        <v>21</v>
      </c>
      <c r="O80" s="3">
        <v>75.400000000000006</v>
      </c>
    </row>
    <row r="81" spans="1:15" ht="14.4" x14ac:dyDescent="0.3">
      <c r="A81" s="2" t="s">
        <v>127</v>
      </c>
      <c r="B81" s="2" t="s">
        <v>24</v>
      </c>
      <c r="C81" s="2" t="s">
        <v>32</v>
      </c>
      <c r="D81" s="2" t="s">
        <v>26</v>
      </c>
      <c r="E81" s="3">
        <v>24</v>
      </c>
      <c r="F81" s="3">
        <v>19.399999999999999</v>
      </c>
      <c r="G81" s="3">
        <v>12.8</v>
      </c>
      <c r="H81" s="3">
        <v>8.8000000000000007</v>
      </c>
      <c r="I81" s="3">
        <v>2</v>
      </c>
      <c r="J81" s="3">
        <v>5</v>
      </c>
      <c r="K81" s="2" t="s">
        <v>19</v>
      </c>
      <c r="L81" s="2" t="s">
        <v>54</v>
      </c>
      <c r="M81" s="3">
        <v>0</v>
      </c>
      <c r="N81" s="2" t="s">
        <v>60</v>
      </c>
      <c r="O81" s="3">
        <v>90.1</v>
      </c>
    </row>
    <row r="82" spans="1:15" ht="14.4" x14ac:dyDescent="0.3">
      <c r="A82" s="2" t="s">
        <v>128</v>
      </c>
      <c r="B82" s="2" t="s">
        <v>24</v>
      </c>
      <c r="C82" s="2" t="s">
        <v>71</v>
      </c>
      <c r="D82" s="2" t="s">
        <v>18</v>
      </c>
      <c r="E82" s="3">
        <v>24</v>
      </c>
      <c r="F82" s="3">
        <v>17.899999999999999</v>
      </c>
      <c r="G82" s="3">
        <v>45.4</v>
      </c>
      <c r="H82" s="3">
        <v>6</v>
      </c>
      <c r="I82" s="3">
        <v>1</v>
      </c>
      <c r="J82" s="3">
        <v>2</v>
      </c>
      <c r="K82" s="2" t="s">
        <v>44</v>
      </c>
      <c r="L82" s="2" t="s">
        <v>20</v>
      </c>
      <c r="M82" s="3">
        <v>2</v>
      </c>
      <c r="N82" s="2" t="s">
        <v>49</v>
      </c>
      <c r="O82" s="3">
        <v>70.900000000000006</v>
      </c>
    </row>
    <row r="83" spans="1:15" ht="14.4" x14ac:dyDescent="0.3">
      <c r="A83" s="2" t="s">
        <v>129</v>
      </c>
      <c r="B83" s="2" t="s">
        <v>36</v>
      </c>
      <c r="C83" s="2" t="s">
        <v>48</v>
      </c>
      <c r="D83" s="2" t="s">
        <v>26</v>
      </c>
      <c r="E83" s="3">
        <v>29</v>
      </c>
      <c r="F83" s="3">
        <v>6.8</v>
      </c>
      <c r="G83" s="3">
        <v>17</v>
      </c>
      <c r="H83" s="3">
        <v>6.6</v>
      </c>
      <c r="I83" s="3">
        <v>4</v>
      </c>
      <c r="J83" s="3">
        <v>4</v>
      </c>
      <c r="K83" s="2" t="s">
        <v>19</v>
      </c>
      <c r="L83" s="2" t="s">
        <v>27</v>
      </c>
      <c r="M83" s="3">
        <v>0</v>
      </c>
      <c r="N83" s="2" t="s">
        <v>60</v>
      </c>
      <c r="O83" s="3">
        <v>65.400000000000006</v>
      </c>
    </row>
    <row r="84" spans="1:15" ht="14.4" x14ac:dyDescent="0.3">
      <c r="A84" s="2" t="s">
        <v>130</v>
      </c>
      <c r="B84" s="2" t="s">
        <v>31</v>
      </c>
      <c r="C84" s="2" t="s">
        <v>32</v>
      </c>
      <c r="D84" s="2" t="s">
        <v>26</v>
      </c>
      <c r="E84" s="2"/>
      <c r="F84" s="3">
        <v>16.3</v>
      </c>
      <c r="G84" s="3">
        <v>62.4</v>
      </c>
      <c r="H84" s="3">
        <v>4.4000000000000004</v>
      </c>
      <c r="I84" s="3">
        <v>6</v>
      </c>
      <c r="J84" s="3">
        <v>5</v>
      </c>
      <c r="K84" s="2" t="s">
        <v>19</v>
      </c>
      <c r="L84" s="2" t="s">
        <v>54</v>
      </c>
      <c r="M84" s="3">
        <v>0</v>
      </c>
      <c r="N84" s="2" t="s">
        <v>33</v>
      </c>
      <c r="O84" s="3">
        <v>71.7</v>
      </c>
    </row>
    <row r="85" spans="1:15" ht="14.4" x14ac:dyDescent="0.3">
      <c r="A85" s="2" t="s">
        <v>131</v>
      </c>
      <c r="B85" s="2" t="s">
        <v>24</v>
      </c>
      <c r="C85" s="2" t="s">
        <v>17</v>
      </c>
      <c r="D85" s="2" t="s">
        <v>26</v>
      </c>
      <c r="E85" s="3">
        <v>28</v>
      </c>
      <c r="F85" s="3">
        <v>11</v>
      </c>
      <c r="G85" s="3">
        <v>78</v>
      </c>
      <c r="H85" s="3">
        <v>8.5</v>
      </c>
      <c r="I85" s="3">
        <v>1</v>
      </c>
      <c r="J85" s="3">
        <v>1</v>
      </c>
      <c r="K85" s="2" t="s">
        <v>19</v>
      </c>
      <c r="L85" s="2" t="s">
        <v>37</v>
      </c>
      <c r="M85" s="2"/>
      <c r="N85" s="2" t="s">
        <v>38</v>
      </c>
      <c r="O85" s="3">
        <v>74.5</v>
      </c>
    </row>
    <row r="86" spans="1:15" ht="14.4" x14ac:dyDescent="0.3">
      <c r="A86" s="2" t="s">
        <v>132</v>
      </c>
      <c r="B86" s="2" t="s">
        <v>24</v>
      </c>
      <c r="C86" s="2" t="s">
        <v>25</v>
      </c>
      <c r="D86" s="2" t="s">
        <v>26</v>
      </c>
      <c r="E86" s="3">
        <v>23</v>
      </c>
      <c r="F86" s="3">
        <v>23.6</v>
      </c>
      <c r="G86" s="3">
        <v>21.1</v>
      </c>
      <c r="H86" s="3">
        <v>7.8</v>
      </c>
      <c r="I86" s="3">
        <v>2</v>
      </c>
      <c r="J86" s="3">
        <v>5</v>
      </c>
      <c r="K86" s="2" t="s">
        <v>44</v>
      </c>
      <c r="L86" s="2" t="s">
        <v>20</v>
      </c>
      <c r="M86" s="3">
        <v>0</v>
      </c>
      <c r="N86" s="2" t="s">
        <v>33</v>
      </c>
      <c r="O86" s="3">
        <v>84.3</v>
      </c>
    </row>
    <row r="87" spans="1:15" ht="14.4" x14ac:dyDescent="0.3">
      <c r="A87" s="2" t="s">
        <v>133</v>
      </c>
      <c r="B87" s="2" t="s">
        <v>31</v>
      </c>
      <c r="C87" s="2" t="s">
        <v>32</v>
      </c>
      <c r="D87" s="2" t="s">
        <v>26</v>
      </c>
      <c r="E87" s="3">
        <v>25</v>
      </c>
      <c r="F87" s="3">
        <v>14.1</v>
      </c>
      <c r="G87" s="3">
        <v>73.2</v>
      </c>
      <c r="H87" s="3">
        <v>7.7</v>
      </c>
      <c r="I87" s="3">
        <v>0</v>
      </c>
      <c r="J87" s="3">
        <v>4</v>
      </c>
      <c r="K87" s="2" t="s">
        <v>19</v>
      </c>
      <c r="L87" s="2" t="s">
        <v>27</v>
      </c>
      <c r="M87" s="3">
        <v>0</v>
      </c>
      <c r="N87" s="2" t="s">
        <v>60</v>
      </c>
      <c r="O87" s="3">
        <v>79.3</v>
      </c>
    </row>
    <row r="88" spans="1:15" ht="14.4" x14ac:dyDescent="0.3">
      <c r="A88" s="2" t="s">
        <v>134</v>
      </c>
      <c r="B88" s="2" t="s">
        <v>31</v>
      </c>
      <c r="C88" s="2" t="s">
        <v>17</v>
      </c>
      <c r="D88" s="2" t="s">
        <v>18</v>
      </c>
      <c r="E88" s="3">
        <v>24</v>
      </c>
      <c r="F88" s="3">
        <v>11</v>
      </c>
      <c r="G88" s="3">
        <v>17.5</v>
      </c>
      <c r="H88" s="3">
        <v>5.8</v>
      </c>
      <c r="I88" s="3">
        <v>3</v>
      </c>
      <c r="J88" s="3">
        <v>2</v>
      </c>
      <c r="K88" s="2" t="s">
        <v>19</v>
      </c>
      <c r="L88" s="2" t="s">
        <v>27</v>
      </c>
      <c r="M88" s="3">
        <v>0</v>
      </c>
      <c r="N88" s="2" t="s">
        <v>49</v>
      </c>
      <c r="O88" s="3">
        <v>87</v>
      </c>
    </row>
    <row r="89" spans="1:15" ht="14.4" x14ac:dyDescent="0.3">
      <c r="A89" s="2" t="s">
        <v>135</v>
      </c>
      <c r="B89" s="2" t="s">
        <v>16</v>
      </c>
      <c r="C89" s="2" t="s">
        <v>48</v>
      </c>
      <c r="D89" s="2" t="s">
        <v>18</v>
      </c>
      <c r="E89" s="3">
        <v>23</v>
      </c>
      <c r="F89" s="3">
        <v>15.6</v>
      </c>
      <c r="G89" s="3">
        <v>8.4</v>
      </c>
      <c r="H89" s="3">
        <v>7.3</v>
      </c>
      <c r="I89" s="3">
        <v>1</v>
      </c>
      <c r="J89" s="3">
        <v>5</v>
      </c>
      <c r="K89" s="2" t="s">
        <v>19</v>
      </c>
      <c r="L89" s="2" t="s">
        <v>20</v>
      </c>
      <c r="M89" s="3">
        <v>1</v>
      </c>
      <c r="N89" s="2" t="s">
        <v>33</v>
      </c>
      <c r="O89" s="3">
        <v>83.2</v>
      </c>
    </row>
    <row r="90" spans="1:15" ht="14.4" x14ac:dyDescent="0.3">
      <c r="A90" s="2" t="s">
        <v>136</v>
      </c>
      <c r="B90" s="2" t="s">
        <v>31</v>
      </c>
      <c r="C90" s="2" t="s">
        <v>32</v>
      </c>
      <c r="D90" s="2" t="s">
        <v>26</v>
      </c>
      <c r="E90" s="3">
        <v>23</v>
      </c>
      <c r="F90" s="3">
        <v>12.3</v>
      </c>
      <c r="G90" s="3">
        <v>39.200000000000003</v>
      </c>
      <c r="H90" s="3">
        <v>6.3</v>
      </c>
      <c r="I90" s="3">
        <v>5</v>
      </c>
      <c r="J90" s="3">
        <v>5</v>
      </c>
      <c r="K90" s="2" t="s">
        <v>19</v>
      </c>
      <c r="L90" s="2" t="s">
        <v>27</v>
      </c>
      <c r="M90" s="3">
        <v>0</v>
      </c>
      <c r="N90" s="2" t="s">
        <v>28</v>
      </c>
      <c r="O90" s="3">
        <v>78.599999999999994</v>
      </c>
    </row>
    <row r="91" spans="1:15" ht="14.4" x14ac:dyDescent="0.3">
      <c r="A91" s="2" t="s">
        <v>137</v>
      </c>
      <c r="B91" s="2" t="s">
        <v>47</v>
      </c>
      <c r="C91" s="2" t="s">
        <v>48</v>
      </c>
      <c r="D91" s="2" t="s">
        <v>26</v>
      </c>
      <c r="E91" s="3">
        <v>21</v>
      </c>
      <c r="F91" s="3">
        <v>12.8</v>
      </c>
      <c r="G91" s="3">
        <v>23.7</v>
      </c>
      <c r="H91" s="3">
        <v>6.4</v>
      </c>
      <c r="I91" s="3">
        <v>4</v>
      </c>
      <c r="J91" s="3">
        <v>5</v>
      </c>
      <c r="K91" s="2" t="s">
        <v>19</v>
      </c>
      <c r="L91" s="2" t="s">
        <v>27</v>
      </c>
      <c r="M91" s="3">
        <v>0</v>
      </c>
      <c r="N91" s="2" t="s">
        <v>33</v>
      </c>
      <c r="O91" s="3">
        <v>73.7</v>
      </c>
    </row>
    <row r="92" spans="1:15" ht="14.4" x14ac:dyDescent="0.3">
      <c r="A92" s="2" t="s">
        <v>138</v>
      </c>
      <c r="B92" s="2" t="s">
        <v>31</v>
      </c>
      <c r="C92" s="2" t="s">
        <v>32</v>
      </c>
      <c r="D92" s="2" t="s">
        <v>26</v>
      </c>
      <c r="E92" s="3">
        <v>25</v>
      </c>
      <c r="F92" s="3">
        <v>25</v>
      </c>
      <c r="G92" s="3">
        <v>31.4</v>
      </c>
      <c r="H92" s="3">
        <v>5.8</v>
      </c>
      <c r="I92" s="3">
        <v>3</v>
      </c>
      <c r="J92" s="3">
        <v>2</v>
      </c>
      <c r="K92" s="2" t="s">
        <v>44</v>
      </c>
      <c r="L92" s="2" t="s">
        <v>59</v>
      </c>
      <c r="M92" s="3">
        <v>0</v>
      </c>
      <c r="N92" s="2" t="s">
        <v>60</v>
      </c>
      <c r="O92" s="3">
        <v>85.2</v>
      </c>
    </row>
    <row r="93" spans="1:15" ht="14.4" x14ac:dyDescent="0.3">
      <c r="A93" s="2" t="s">
        <v>139</v>
      </c>
      <c r="B93" s="2" t="s">
        <v>31</v>
      </c>
      <c r="C93" s="2" t="s">
        <v>25</v>
      </c>
      <c r="D93" s="2" t="s">
        <v>18</v>
      </c>
      <c r="E93" s="3">
        <v>20</v>
      </c>
      <c r="F93" s="3">
        <v>21.2</v>
      </c>
      <c r="G93" s="3">
        <v>200</v>
      </c>
      <c r="H93" s="3">
        <v>7.9</v>
      </c>
      <c r="I93" s="3">
        <v>3</v>
      </c>
      <c r="J93" s="3">
        <v>5</v>
      </c>
      <c r="K93" s="2" t="s">
        <v>19</v>
      </c>
      <c r="L93" s="2" t="s">
        <v>27</v>
      </c>
      <c r="M93" s="3">
        <v>0</v>
      </c>
      <c r="N93" s="2" t="s">
        <v>21</v>
      </c>
      <c r="O93" s="3">
        <v>83.7</v>
      </c>
    </row>
    <row r="94" spans="1:15" ht="14.4" x14ac:dyDescent="0.3">
      <c r="A94" s="2" t="s">
        <v>140</v>
      </c>
      <c r="B94" s="2" t="s">
        <v>47</v>
      </c>
      <c r="C94" s="2" t="s">
        <v>71</v>
      </c>
      <c r="D94" s="2" t="s">
        <v>18</v>
      </c>
      <c r="E94" s="3">
        <v>20</v>
      </c>
      <c r="F94" s="3">
        <v>16.8</v>
      </c>
      <c r="G94" s="3">
        <v>29.1</v>
      </c>
      <c r="H94" s="3">
        <v>6.8</v>
      </c>
      <c r="I94" s="3">
        <v>1</v>
      </c>
      <c r="J94" s="3">
        <v>2</v>
      </c>
      <c r="K94" s="2" t="s">
        <v>19</v>
      </c>
      <c r="L94" s="2" t="s">
        <v>37</v>
      </c>
      <c r="M94" s="3">
        <v>0</v>
      </c>
      <c r="N94" s="2" t="s">
        <v>33</v>
      </c>
      <c r="O94" s="3">
        <v>73.5</v>
      </c>
    </row>
    <row r="95" spans="1:15" ht="14.4" x14ac:dyDescent="0.3">
      <c r="A95" s="2" t="s">
        <v>141</v>
      </c>
      <c r="B95" s="2" t="s">
        <v>16</v>
      </c>
      <c r="C95" s="2" t="s">
        <v>25</v>
      </c>
      <c r="D95" s="2" t="s">
        <v>18</v>
      </c>
      <c r="E95" s="2"/>
      <c r="F95" s="3">
        <v>22.3</v>
      </c>
      <c r="G95" s="3">
        <v>70</v>
      </c>
      <c r="H95" s="3">
        <v>6.7</v>
      </c>
      <c r="I95" s="3">
        <v>2</v>
      </c>
      <c r="J95" s="3">
        <v>2</v>
      </c>
      <c r="K95" s="2" t="s">
        <v>19</v>
      </c>
      <c r="L95" s="2" t="s">
        <v>54</v>
      </c>
      <c r="M95" s="3">
        <v>0</v>
      </c>
      <c r="N95" s="2" t="s">
        <v>21</v>
      </c>
      <c r="O95" s="3">
        <v>84.4</v>
      </c>
    </row>
    <row r="96" spans="1:15" ht="14.4" x14ac:dyDescent="0.3">
      <c r="A96" s="2" t="s">
        <v>142</v>
      </c>
      <c r="B96" s="2" t="s">
        <v>24</v>
      </c>
      <c r="C96" s="2" t="s">
        <v>17</v>
      </c>
      <c r="D96" s="2" t="s">
        <v>26</v>
      </c>
      <c r="E96" s="3">
        <v>20</v>
      </c>
      <c r="F96" s="3">
        <v>20.5</v>
      </c>
      <c r="G96" s="3">
        <v>25.9</v>
      </c>
      <c r="H96" s="3">
        <v>8.1999999999999993</v>
      </c>
      <c r="I96" s="3">
        <v>5</v>
      </c>
      <c r="J96" s="3">
        <v>3</v>
      </c>
      <c r="K96" s="2" t="s">
        <v>19</v>
      </c>
      <c r="L96" s="2" t="s">
        <v>27</v>
      </c>
      <c r="M96" s="3">
        <v>0</v>
      </c>
      <c r="N96" s="2" t="s">
        <v>21</v>
      </c>
      <c r="O96" s="3">
        <v>94.1</v>
      </c>
    </row>
    <row r="97" spans="1:15" ht="14.4" x14ac:dyDescent="0.3">
      <c r="A97" s="2" t="s">
        <v>143</v>
      </c>
      <c r="B97" s="2" t="s">
        <v>36</v>
      </c>
      <c r="C97" s="2" t="s">
        <v>32</v>
      </c>
      <c r="D97" s="2" t="s">
        <v>18</v>
      </c>
      <c r="E97" s="3">
        <v>23</v>
      </c>
      <c r="F97" s="3">
        <v>17.8</v>
      </c>
      <c r="G97" s="3">
        <v>28.4</v>
      </c>
      <c r="H97" s="3">
        <v>7.5</v>
      </c>
      <c r="I97" s="3">
        <v>2</v>
      </c>
      <c r="J97" s="3">
        <v>3</v>
      </c>
      <c r="K97" s="2" t="s">
        <v>19</v>
      </c>
      <c r="L97" s="2" t="s">
        <v>20</v>
      </c>
      <c r="M97" s="3">
        <v>0</v>
      </c>
      <c r="N97" s="2" t="s">
        <v>60</v>
      </c>
      <c r="O97" s="3">
        <v>75.400000000000006</v>
      </c>
    </row>
    <row r="98" spans="1:15" ht="14.4" x14ac:dyDescent="0.3">
      <c r="A98" s="2" t="s">
        <v>144</v>
      </c>
      <c r="B98" s="2" t="s">
        <v>36</v>
      </c>
      <c r="C98" s="2" t="s">
        <v>32</v>
      </c>
      <c r="D98" s="2" t="s">
        <v>18</v>
      </c>
      <c r="E98" s="3">
        <v>21</v>
      </c>
      <c r="F98" s="3">
        <v>11.9</v>
      </c>
      <c r="G98" s="3">
        <v>14.7</v>
      </c>
      <c r="H98" s="3">
        <v>7.1</v>
      </c>
      <c r="I98" s="3">
        <v>3</v>
      </c>
      <c r="J98" s="3">
        <v>5</v>
      </c>
      <c r="K98" s="2" t="s">
        <v>19</v>
      </c>
      <c r="L98" s="2" t="s">
        <v>54</v>
      </c>
      <c r="M98" s="3">
        <v>0</v>
      </c>
      <c r="N98" s="2" t="s">
        <v>21</v>
      </c>
      <c r="O98" s="3">
        <v>69.599999999999994</v>
      </c>
    </row>
    <row r="99" spans="1:15" ht="14.4" x14ac:dyDescent="0.3">
      <c r="A99" s="2" t="s">
        <v>145</v>
      </c>
      <c r="B99" s="2" t="s">
        <v>31</v>
      </c>
      <c r="C99" s="2" t="s">
        <v>32</v>
      </c>
      <c r="D99" s="2" t="s">
        <v>18</v>
      </c>
      <c r="E99" s="3">
        <v>21</v>
      </c>
      <c r="F99" s="3">
        <v>16.8</v>
      </c>
      <c r="G99" s="2"/>
      <c r="H99" s="3">
        <v>7</v>
      </c>
      <c r="I99" s="3">
        <v>2</v>
      </c>
      <c r="J99" s="3">
        <v>3</v>
      </c>
      <c r="K99" s="2" t="s">
        <v>19</v>
      </c>
      <c r="L99" s="2" t="s">
        <v>37</v>
      </c>
      <c r="M99" s="3">
        <v>1</v>
      </c>
      <c r="N99" s="2" t="s">
        <v>60</v>
      </c>
      <c r="O99" s="3">
        <v>71.2</v>
      </c>
    </row>
    <row r="100" spans="1:15" ht="14.4" x14ac:dyDescent="0.3">
      <c r="A100" s="2" t="s">
        <v>146</v>
      </c>
      <c r="B100" s="2" t="s">
        <v>31</v>
      </c>
      <c r="C100" s="2" t="s">
        <v>48</v>
      </c>
      <c r="D100" s="2" t="s">
        <v>18</v>
      </c>
      <c r="E100" s="3">
        <v>23</v>
      </c>
      <c r="F100" s="3">
        <v>11.8</v>
      </c>
      <c r="G100" s="3">
        <v>27.9</v>
      </c>
      <c r="H100" s="3">
        <v>8.1</v>
      </c>
      <c r="I100" s="3">
        <v>5</v>
      </c>
      <c r="J100" s="3">
        <v>2</v>
      </c>
      <c r="K100" s="2" t="s">
        <v>19</v>
      </c>
      <c r="L100" s="2" t="s">
        <v>27</v>
      </c>
      <c r="M100" s="3">
        <v>0</v>
      </c>
      <c r="N100" s="2" t="s">
        <v>33</v>
      </c>
      <c r="O100" s="3">
        <v>70</v>
      </c>
    </row>
    <row r="101" spans="1:15" ht="14.4" x14ac:dyDescent="0.3">
      <c r="A101" s="2" t="s">
        <v>147</v>
      </c>
      <c r="B101" s="2" t="s">
        <v>16</v>
      </c>
      <c r="C101" s="2" t="s">
        <v>32</v>
      </c>
      <c r="D101" s="2" t="s">
        <v>26</v>
      </c>
      <c r="E101" s="3">
        <v>22</v>
      </c>
      <c r="F101" s="3">
        <v>15.7</v>
      </c>
      <c r="G101" s="3">
        <v>11.1</v>
      </c>
      <c r="H101" s="2"/>
      <c r="I101" s="3">
        <v>6</v>
      </c>
      <c r="J101" s="3">
        <v>5</v>
      </c>
      <c r="K101" s="2" t="s">
        <v>19</v>
      </c>
      <c r="L101" s="2" t="s">
        <v>27</v>
      </c>
      <c r="M101" s="3">
        <v>1</v>
      </c>
      <c r="N101" s="2" t="s">
        <v>38</v>
      </c>
      <c r="O101" s="3">
        <v>78.099999999999994</v>
      </c>
    </row>
    <row r="102" spans="1:15" ht="14.4" x14ac:dyDescent="0.3">
      <c r="A102" s="2" t="s">
        <v>148</v>
      </c>
      <c r="B102" s="2" t="s">
        <v>47</v>
      </c>
      <c r="C102" s="2" t="s">
        <v>32</v>
      </c>
      <c r="D102" s="2" t="s">
        <v>26</v>
      </c>
      <c r="E102" s="3">
        <v>27</v>
      </c>
      <c r="F102" s="3">
        <v>24.8</v>
      </c>
      <c r="G102" s="3">
        <v>29.3</v>
      </c>
      <c r="H102" s="3">
        <v>7</v>
      </c>
      <c r="I102" s="3">
        <v>4</v>
      </c>
      <c r="J102" s="3">
        <v>4</v>
      </c>
      <c r="K102" s="2" t="s">
        <v>19</v>
      </c>
      <c r="L102" s="2" t="s">
        <v>59</v>
      </c>
      <c r="M102" s="3">
        <v>0</v>
      </c>
      <c r="N102" s="2" t="s">
        <v>60</v>
      </c>
      <c r="O102" s="3">
        <v>93</v>
      </c>
    </row>
    <row r="103" spans="1:15" ht="14.4" x14ac:dyDescent="0.3">
      <c r="A103" s="2" t="s">
        <v>149</v>
      </c>
      <c r="B103" s="2" t="s">
        <v>31</v>
      </c>
      <c r="C103" s="2" t="s">
        <v>32</v>
      </c>
      <c r="D103" s="2" t="s">
        <v>26</v>
      </c>
      <c r="E103" s="3">
        <v>25</v>
      </c>
      <c r="F103" s="3">
        <v>14.4</v>
      </c>
      <c r="G103" s="3">
        <v>67</v>
      </c>
      <c r="H103" s="3">
        <v>7.6</v>
      </c>
      <c r="I103" s="3">
        <v>7</v>
      </c>
      <c r="J103" s="3">
        <v>5</v>
      </c>
      <c r="K103" s="2" t="s">
        <v>44</v>
      </c>
      <c r="L103" s="2" t="s">
        <v>20</v>
      </c>
      <c r="M103" s="3">
        <v>0</v>
      </c>
      <c r="N103" s="2" t="s">
        <v>38</v>
      </c>
      <c r="O103" s="3">
        <v>75.400000000000006</v>
      </c>
    </row>
    <row r="104" spans="1:15" ht="14.4" x14ac:dyDescent="0.3">
      <c r="A104" s="2" t="s">
        <v>150</v>
      </c>
      <c r="B104" s="2" t="s">
        <v>47</v>
      </c>
      <c r="C104" s="2" t="s">
        <v>17</v>
      </c>
      <c r="D104" s="2" t="s">
        <v>26</v>
      </c>
      <c r="E104" s="3">
        <v>21</v>
      </c>
      <c r="F104" s="3">
        <v>15.1</v>
      </c>
      <c r="G104" s="3">
        <v>53.8</v>
      </c>
      <c r="H104" s="3">
        <v>9.3000000000000007</v>
      </c>
      <c r="I104" s="3">
        <v>2</v>
      </c>
      <c r="J104" s="3">
        <v>4</v>
      </c>
      <c r="K104" s="2" t="s">
        <v>44</v>
      </c>
      <c r="L104" s="2" t="s">
        <v>27</v>
      </c>
      <c r="M104" s="3">
        <v>1</v>
      </c>
      <c r="N104" s="2" t="s">
        <v>38</v>
      </c>
      <c r="O104" s="2"/>
    </row>
    <row r="105" spans="1:15" ht="14.4" x14ac:dyDescent="0.3">
      <c r="A105" s="2" t="s">
        <v>151</v>
      </c>
      <c r="B105" s="2" t="s">
        <v>31</v>
      </c>
      <c r="C105" s="2" t="s">
        <v>48</v>
      </c>
      <c r="D105" s="2" t="s">
        <v>26</v>
      </c>
      <c r="E105" s="3">
        <v>21</v>
      </c>
      <c r="F105" s="3">
        <v>12.9</v>
      </c>
      <c r="G105" s="3">
        <v>29.6</v>
      </c>
      <c r="H105" s="3">
        <v>6.9</v>
      </c>
      <c r="I105" s="3">
        <v>3</v>
      </c>
      <c r="J105" s="3">
        <v>4</v>
      </c>
      <c r="K105" s="2" t="s">
        <v>19</v>
      </c>
      <c r="L105" s="2" t="s">
        <v>20</v>
      </c>
      <c r="M105" s="3">
        <v>3</v>
      </c>
      <c r="N105" s="2" t="s">
        <v>33</v>
      </c>
      <c r="O105" s="3">
        <v>84.2</v>
      </c>
    </row>
    <row r="106" spans="1:15" ht="14.4" x14ac:dyDescent="0.3">
      <c r="A106" s="2" t="s">
        <v>152</v>
      </c>
      <c r="B106" s="2" t="s">
        <v>31</v>
      </c>
      <c r="C106" s="2" t="s">
        <v>25</v>
      </c>
      <c r="D106" s="2" t="s">
        <v>18</v>
      </c>
      <c r="E106" s="3">
        <v>22</v>
      </c>
      <c r="F106" s="3">
        <v>15.3</v>
      </c>
      <c r="G106" s="3">
        <v>17.8</v>
      </c>
      <c r="H106" s="3">
        <v>5.5</v>
      </c>
      <c r="I106" s="3">
        <v>2</v>
      </c>
      <c r="J106" s="3">
        <v>2</v>
      </c>
      <c r="K106" s="2" t="s">
        <v>19</v>
      </c>
      <c r="L106" s="2" t="s">
        <v>37</v>
      </c>
      <c r="M106" s="3">
        <v>0</v>
      </c>
      <c r="N106" s="2" t="s">
        <v>49</v>
      </c>
      <c r="O106" s="3">
        <v>74.400000000000006</v>
      </c>
    </row>
    <row r="107" spans="1:15" ht="14.4" x14ac:dyDescent="0.3">
      <c r="A107" s="2" t="s">
        <v>153</v>
      </c>
      <c r="B107" s="2" t="s">
        <v>31</v>
      </c>
      <c r="C107" s="2" t="s">
        <v>32</v>
      </c>
      <c r="D107" s="2" t="s">
        <v>18</v>
      </c>
      <c r="E107" s="3">
        <v>24</v>
      </c>
      <c r="F107" s="3">
        <v>25.8</v>
      </c>
      <c r="G107" s="3">
        <v>256.5</v>
      </c>
      <c r="H107" s="3">
        <v>6</v>
      </c>
      <c r="I107" s="3">
        <v>7</v>
      </c>
      <c r="J107" s="3">
        <v>4</v>
      </c>
      <c r="K107" s="2" t="s">
        <v>19</v>
      </c>
      <c r="L107" s="2" t="s">
        <v>20</v>
      </c>
      <c r="M107" s="3">
        <v>0</v>
      </c>
      <c r="N107" s="2" t="s">
        <v>49</v>
      </c>
      <c r="O107" s="3">
        <v>99</v>
      </c>
    </row>
    <row r="108" spans="1:15" ht="14.4" x14ac:dyDescent="0.3">
      <c r="A108" s="2" t="s">
        <v>154</v>
      </c>
      <c r="B108" s="2" t="s">
        <v>31</v>
      </c>
      <c r="C108" s="2" t="s">
        <v>71</v>
      </c>
      <c r="D108" s="2" t="s">
        <v>18</v>
      </c>
      <c r="E108" s="3">
        <v>24</v>
      </c>
      <c r="F108" s="3">
        <v>13.1</v>
      </c>
      <c r="G108" s="3">
        <v>25.1</v>
      </c>
      <c r="H108" s="3">
        <v>4.5999999999999996</v>
      </c>
      <c r="I108" s="3">
        <v>1</v>
      </c>
      <c r="J108" s="3">
        <v>4</v>
      </c>
      <c r="K108" s="2" t="s">
        <v>19</v>
      </c>
      <c r="L108" s="2" t="s">
        <v>59</v>
      </c>
      <c r="M108" s="3">
        <v>0</v>
      </c>
      <c r="N108" s="2" t="s">
        <v>60</v>
      </c>
      <c r="O108" s="3">
        <v>68.400000000000006</v>
      </c>
    </row>
    <row r="109" spans="1:15" ht="14.4" x14ac:dyDescent="0.3">
      <c r="A109" s="2" t="s">
        <v>155</v>
      </c>
      <c r="B109" s="2" t="s">
        <v>24</v>
      </c>
      <c r="C109" s="2" t="s">
        <v>25</v>
      </c>
      <c r="D109" s="2" t="s">
        <v>26</v>
      </c>
      <c r="E109" s="3">
        <v>21</v>
      </c>
      <c r="F109" s="3">
        <v>17.399999999999999</v>
      </c>
      <c r="G109" s="3">
        <v>64.099999999999994</v>
      </c>
      <c r="H109" s="3">
        <v>8.5</v>
      </c>
      <c r="I109" s="3">
        <v>3</v>
      </c>
      <c r="J109" s="3">
        <v>4</v>
      </c>
      <c r="K109" s="2" t="s">
        <v>19</v>
      </c>
      <c r="L109" s="2" t="s">
        <v>20</v>
      </c>
      <c r="M109" s="3">
        <v>0</v>
      </c>
      <c r="N109" s="2" t="s">
        <v>38</v>
      </c>
      <c r="O109" s="3">
        <v>81.900000000000006</v>
      </c>
    </row>
    <row r="110" spans="1:15" ht="14.4" x14ac:dyDescent="0.3">
      <c r="A110" s="2" t="s">
        <v>156</v>
      </c>
      <c r="B110" s="2" t="s">
        <v>31</v>
      </c>
      <c r="C110" s="2" t="s">
        <v>25</v>
      </c>
      <c r="D110" s="2" t="s">
        <v>26</v>
      </c>
      <c r="E110" s="3">
        <v>26</v>
      </c>
      <c r="F110" s="3">
        <v>14.2</v>
      </c>
      <c r="G110" s="3">
        <v>121.4</v>
      </c>
      <c r="H110" s="3">
        <v>5.0999999999999996</v>
      </c>
      <c r="I110" s="3">
        <v>4</v>
      </c>
      <c r="J110" s="3">
        <v>2</v>
      </c>
      <c r="K110" s="2" t="s">
        <v>44</v>
      </c>
      <c r="L110" s="2" t="s">
        <v>20</v>
      </c>
      <c r="M110" s="3">
        <v>1</v>
      </c>
      <c r="N110" s="2" t="s">
        <v>21</v>
      </c>
      <c r="O110" s="3">
        <v>68.5</v>
      </c>
    </row>
    <row r="111" spans="1:15" ht="14.4" x14ac:dyDescent="0.3">
      <c r="A111" s="2" t="s">
        <v>157</v>
      </c>
      <c r="B111" s="2" t="s">
        <v>24</v>
      </c>
      <c r="C111" s="2" t="s">
        <v>17</v>
      </c>
      <c r="D111" s="2" t="s">
        <v>18</v>
      </c>
      <c r="E111" s="3">
        <v>25</v>
      </c>
      <c r="F111" s="3">
        <v>25.9</v>
      </c>
      <c r="G111" s="3">
        <v>22.4</v>
      </c>
      <c r="H111" s="3">
        <v>7.1</v>
      </c>
      <c r="I111" s="3">
        <v>4</v>
      </c>
      <c r="J111" s="3">
        <v>3</v>
      </c>
      <c r="K111" s="2" t="s">
        <v>19</v>
      </c>
      <c r="L111" s="2" t="s">
        <v>27</v>
      </c>
      <c r="M111" s="3">
        <v>0</v>
      </c>
      <c r="N111" s="2" t="s">
        <v>28</v>
      </c>
      <c r="O111" s="3">
        <v>87.4</v>
      </c>
    </row>
    <row r="112" spans="1:15" ht="14.4" x14ac:dyDescent="0.3">
      <c r="A112" s="2" t="s">
        <v>158</v>
      </c>
      <c r="B112" s="2" t="s">
        <v>31</v>
      </c>
      <c r="C112" s="2" t="s">
        <v>32</v>
      </c>
      <c r="D112" s="2" t="s">
        <v>26</v>
      </c>
      <c r="E112" s="3">
        <v>23</v>
      </c>
      <c r="F112" s="2"/>
      <c r="G112" s="3">
        <v>46.4</v>
      </c>
      <c r="H112" s="3">
        <v>8</v>
      </c>
      <c r="I112" s="3">
        <v>5</v>
      </c>
      <c r="J112" s="3">
        <v>3</v>
      </c>
      <c r="K112" s="2" t="s">
        <v>19</v>
      </c>
      <c r="L112" s="2" t="s">
        <v>27</v>
      </c>
      <c r="M112" s="3">
        <v>1</v>
      </c>
      <c r="N112" s="2" t="s">
        <v>21</v>
      </c>
      <c r="O112" s="3">
        <v>85</v>
      </c>
    </row>
    <row r="113" spans="1:15" ht="14.4" x14ac:dyDescent="0.3">
      <c r="A113" s="2" t="s">
        <v>159</v>
      </c>
      <c r="B113" s="2" t="s">
        <v>16</v>
      </c>
      <c r="C113" s="2" t="s">
        <v>32</v>
      </c>
      <c r="D113" s="2" t="s">
        <v>18</v>
      </c>
      <c r="E113" s="3">
        <v>24</v>
      </c>
      <c r="F113" s="2"/>
      <c r="G113" s="3">
        <v>29.8</v>
      </c>
      <c r="H113" s="3">
        <v>8.4</v>
      </c>
      <c r="I113" s="3">
        <v>2</v>
      </c>
      <c r="J113" s="3">
        <v>3</v>
      </c>
      <c r="K113" s="2" t="s">
        <v>19</v>
      </c>
      <c r="L113" s="2" t="s">
        <v>27</v>
      </c>
      <c r="M113" s="3">
        <v>0</v>
      </c>
      <c r="N113" s="2" t="s">
        <v>33</v>
      </c>
      <c r="O113" s="3">
        <v>85.4</v>
      </c>
    </row>
    <row r="114" spans="1:15" ht="14.4" x14ac:dyDescent="0.3">
      <c r="A114" s="2" t="s">
        <v>160</v>
      </c>
      <c r="B114" s="2" t="s">
        <v>36</v>
      </c>
      <c r="C114" s="2" t="s">
        <v>17</v>
      </c>
      <c r="D114" s="2" t="s">
        <v>18</v>
      </c>
      <c r="E114" s="3">
        <v>20</v>
      </c>
      <c r="F114" s="3">
        <v>16.8</v>
      </c>
      <c r="G114" s="3">
        <v>25</v>
      </c>
      <c r="H114" s="3">
        <v>6</v>
      </c>
      <c r="I114" s="3">
        <v>5</v>
      </c>
      <c r="J114" s="2"/>
      <c r="K114" s="2" t="s">
        <v>44</v>
      </c>
      <c r="L114" s="2" t="s">
        <v>27</v>
      </c>
      <c r="M114" s="3">
        <v>0</v>
      </c>
      <c r="N114" s="2" t="s">
        <v>33</v>
      </c>
      <c r="O114" s="3">
        <v>77</v>
      </c>
    </row>
    <row r="115" spans="1:15" ht="14.4" x14ac:dyDescent="0.3">
      <c r="A115" s="2" t="s">
        <v>161</v>
      </c>
      <c r="B115" s="2" t="s">
        <v>47</v>
      </c>
      <c r="C115" s="2" t="s">
        <v>32</v>
      </c>
      <c r="D115" s="2" t="s">
        <v>26</v>
      </c>
      <c r="E115" s="3">
        <v>23</v>
      </c>
      <c r="F115" s="3">
        <v>9.5</v>
      </c>
      <c r="G115" s="3">
        <v>43.9</v>
      </c>
      <c r="H115" s="3">
        <v>6.6</v>
      </c>
      <c r="I115" s="3">
        <v>3</v>
      </c>
      <c r="J115" s="3">
        <v>5</v>
      </c>
      <c r="K115" s="2" t="s">
        <v>19</v>
      </c>
      <c r="L115" s="2" t="s">
        <v>59</v>
      </c>
      <c r="M115" s="3">
        <v>1</v>
      </c>
      <c r="N115" s="2" t="s">
        <v>38</v>
      </c>
      <c r="O115" s="3">
        <v>77</v>
      </c>
    </row>
    <row r="116" spans="1:15" ht="14.4" x14ac:dyDescent="0.3">
      <c r="A116" s="2" t="s">
        <v>162</v>
      </c>
      <c r="B116" s="2" t="s">
        <v>36</v>
      </c>
      <c r="C116" s="2" t="s">
        <v>17</v>
      </c>
      <c r="D116" s="2" t="s">
        <v>18</v>
      </c>
      <c r="E116" s="3">
        <v>20</v>
      </c>
      <c r="F116" s="3">
        <v>9.3000000000000007</v>
      </c>
      <c r="G116" s="3">
        <v>31</v>
      </c>
      <c r="H116" s="3">
        <v>6.7</v>
      </c>
      <c r="I116" s="3">
        <v>1</v>
      </c>
      <c r="J116" s="3">
        <v>4</v>
      </c>
      <c r="K116" s="2" t="s">
        <v>44</v>
      </c>
      <c r="L116" s="2" t="s">
        <v>20</v>
      </c>
      <c r="M116" s="3">
        <v>0</v>
      </c>
      <c r="N116" s="2" t="s">
        <v>28</v>
      </c>
      <c r="O116" s="3">
        <v>74.599999999999994</v>
      </c>
    </row>
    <row r="117" spans="1:15" ht="14.4" x14ac:dyDescent="0.3">
      <c r="A117" s="2" t="s">
        <v>163</v>
      </c>
      <c r="B117" s="2" t="s">
        <v>36</v>
      </c>
      <c r="C117" s="2" t="s">
        <v>48</v>
      </c>
      <c r="D117" s="2" t="s">
        <v>26</v>
      </c>
      <c r="E117" s="3">
        <v>28</v>
      </c>
      <c r="F117" s="2"/>
      <c r="G117" s="3">
        <v>18.8</v>
      </c>
      <c r="H117" s="3">
        <v>5.4</v>
      </c>
      <c r="I117" s="3">
        <v>2</v>
      </c>
      <c r="J117" s="3">
        <v>2</v>
      </c>
      <c r="K117" s="2" t="s">
        <v>19</v>
      </c>
      <c r="L117" s="2" t="s">
        <v>54</v>
      </c>
      <c r="M117" s="3">
        <v>0</v>
      </c>
      <c r="N117" s="2" t="s">
        <v>33</v>
      </c>
      <c r="O117" s="3">
        <v>88.1</v>
      </c>
    </row>
    <row r="118" spans="1:15" ht="14.4" x14ac:dyDescent="0.3">
      <c r="A118" s="2" t="s">
        <v>164</v>
      </c>
      <c r="B118" s="2" t="s">
        <v>16</v>
      </c>
      <c r="C118" s="2" t="s">
        <v>17</v>
      </c>
      <c r="D118" s="2" t="s">
        <v>26</v>
      </c>
      <c r="E118" s="3">
        <v>21</v>
      </c>
      <c r="F118" s="3">
        <v>20.3</v>
      </c>
      <c r="G118" s="3">
        <v>50</v>
      </c>
      <c r="H118" s="3">
        <v>5.3</v>
      </c>
      <c r="I118" s="3">
        <v>2</v>
      </c>
      <c r="J118" s="3">
        <v>4</v>
      </c>
      <c r="K118" s="2" t="s">
        <v>19</v>
      </c>
      <c r="L118" s="2" t="s">
        <v>27</v>
      </c>
      <c r="M118" s="3">
        <v>0</v>
      </c>
      <c r="N118" s="2" t="s">
        <v>60</v>
      </c>
      <c r="O118" s="3">
        <v>77.7</v>
      </c>
    </row>
    <row r="119" spans="1:15" ht="14.4" x14ac:dyDescent="0.3">
      <c r="A119" s="2" t="s">
        <v>165</v>
      </c>
      <c r="B119" s="2" t="s">
        <v>31</v>
      </c>
      <c r="C119" s="2" t="s">
        <v>48</v>
      </c>
      <c r="D119" s="2" t="s">
        <v>18</v>
      </c>
      <c r="E119" s="3">
        <v>21</v>
      </c>
      <c r="F119" s="3">
        <v>20.399999999999999</v>
      </c>
      <c r="G119" s="3">
        <v>120.2</v>
      </c>
      <c r="H119" s="3">
        <v>8.1999999999999993</v>
      </c>
      <c r="I119" s="3">
        <v>5</v>
      </c>
      <c r="J119" s="3">
        <v>2</v>
      </c>
      <c r="K119" s="2" t="s">
        <v>44</v>
      </c>
      <c r="L119" s="2" t="s">
        <v>27</v>
      </c>
      <c r="M119" s="3">
        <v>0</v>
      </c>
      <c r="N119" s="2" t="s">
        <v>33</v>
      </c>
      <c r="O119" s="3">
        <v>80.2</v>
      </c>
    </row>
    <row r="120" spans="1:15" ht="14.4" x14ac:dyDescent="0.3">
      <c r="A120" s="2" t="s">
        <v>166</v>
      </c>
      <c r="B120" s="2" t="s">
        <v>36</v>
      </c>
      <c r="C120" s="2" t="s">
        <v>32</v>
      </c>
      <c r="D120" s="2" t="s">
        <v>18</v>
      </c>
      <c r="E120" s="3">
        <v>29</v>
      </c>
      <c r="F120" s="3">
        <v>18.8</v>
      </c>
      <c r="G120" s="3">
        <v>16.2</v>
      </c>
      <c r="H120" s="3">
        <v>5.7</v>
      </c>
      <c r="I120" s="3">
        <v>0</v>
      </c>
      <c r="J120" s="3">
        <v>3</v>
      </c>
      <c r="K120" s="2" t="s">
        <v>44</v>
      </c>
      <c r="L120" s="2" t="s">
        <v>54</v>
      </c>
      <c r="M120" s="3">
        <v>1</v>
      </c>
      <c r="N120" s="2" t="s">
        <v>28</v>
      </c>
      <c r="O120" s="3">
        <v>76.599999999999994</v>
      </c>
    </row>
    <row r="121" spans="1:15" ht="14.4" x14ac:dyDescent="0.3">
      <c r="A121" s="2" t="s">
        <v>167</v>
      </c>
      <c r="B121" s="2" t="s">
        <v>31</v>
      </c>
      <c r="C121" s="2" t="s">
        <v>48</v>
      </c>
      <c r="D121" s="2" t="s">
        <v>18</v>
      </c>
      <c r="E121" s="3">
        <v>23</v>
      </c>
      <c r="F121" s="3">
        <v>25.2</v>
      </c>
      <c r="G121" s="3">
        <v>25.6</v>
      </c>
      <c r="H121" s="3">
        <v>5.3</v>
      </c>
      <c r="I121" s="3">
        <v>1</v>
      </c>
      <c r="J121" s="3">
        <v>3</v>
      </c>
      <c r="K121" s="2" t="s">
        <v>19</v>
      </c>
      <c r="L121" s="2" t="s">
        <v>20</v>
      </c>
      <c r="M121" s="3">
        <v>1</v>
      </c>
      <c r="N121" s="2" t="s">
        <v>33</v>
      </c>
      <c r="O121" s="3">
        <v>87</v>
      </c>
    </row>
    <row r="122" spans="1:15" ht="14.4" x14ac:dyDescent="0.3">
      <c r="A122" s="2" t="s">
        <v>168</v>
      </c>
      <c r="B122" s="2" t="s">
        <v>47</v>
      </c>
      <c r="C122" s="2" t="s">
        <v>17</v>
      </c>
      <c r="D122" s="2" t="s">
        <v>18</v>
      </c>
      <c r="E122" s="3">
        <v>24</v>
      </c>
      <c r="F122" s="3">
        <v>12.4</v>
      </c>
      <c r="G122" s="3">
        <v>15.6</v>
      </c>
      <c r="H122" s="3">
        <v>8.9</v>
      </c>
      <c r="I122" s="3">
        <v>5</v>
      </c>
      <c r="J122" s="3">
        <v>3</v>
      </c>
      <c r="K122" s="2" t="s">
        <v>19</v>
      </c>
      <c r="L122" s="2" t="s">
        <v>27</v>
      </c>
      <c r="M122" s="3">
        <v>0</v>
      </c>
      <c r="N122" s="2" t="s">
        <v>33</v>
      </c>
      <c r="O122" s="3">
        <v>71</v>
      </c>
    </row>
    <row r="123" spans="1:15" ht="14.4" x14ac:dyDescent="0.3">
      <c r="A123" s="2" t="s">
        <v>169</v>
      </c>
      <c r="B123" s="2" t="s">
        <v>16</v>
      </c>
      <c r="C123" s="2" t="s">
        <v>32</v>
      </c>
      <c r="D123" s="2" t="s">
        <v>18</v>
      </c>
      <c r="E123" s="3">
        <v>29</v>
      </c>
      <c r="F123" s="3">
        <v>25.1</v>
      </c>
      <c r="G123" s="3">
        <v>5</v>
      </c>
      <c r="H123" s="3">
        <v>6.6</v>
      </c>
      <c r="I123" s="3">
        <v>3</v>
      </c>
      <c r="J123" s="3">
        <v>4</v>
      </c>
      <c r="K123" s="2" t="s">
        <v>19</v>
      </c>
      <c r="L123" s="2" t="s">
        <v>54</v>
      </c>
      <c r="M123" s="3">
        <v>1</v>
      </c>
      <c r="N123" s="2" t="s">
        <v>33</v>
      </c>
      <c r="O123" s="3">
        <v>91.7</v>
      </c>
    </row>
    <row r="124" spans="1:15" ht="14.4" x14ac:dyDescent="0.3">
      <c r="A124" s="2" t="s">
        <v>170</v>
      </c>
      <c r="B124" s="2" t="s">
        <v>24</v>
      </c>
      <c r="C124" s="2" t="s">
        <v>48</v>
      </c>
      <c r="D124" s="2" t="s">
        <v>26</v>
      </c>
      <c r="E124" s="3">
        <v>21</v>
      </c>
      <c r="F124" s="3">
        <v>21.7</v>
      </c>
      <c r="G124" s="3">
        <v>13.1</v>
      </c>
      <c r="H124" s="3">
        <v>7.8</v>
      </c>
      <c r="I124" s="3">
        <v>6</v>
      </c>
      <c r="J124" s="3">
        <v>3</v>
      </c>
      <c r="K124" s="2" t="s">
        <v>19</v>
      </c>
      <c r="L124" s="2" t="s">
        <v>27</v>
      </c>
      <c r="M124" s="3">
        <v>0</v>
      </c>
      <c r="N124" s="2" t="s">
        <v>38</v>
      </c>
      <c r="O124" s="3">
        <v>90.2</v>
      </c>
    </row>
    <row r="125" spans="1:15" ht="14.4" x14ac:dyDescent="0.3">
      <c r="A125" s="2" t="s">
        <v>171</v>
      </c>
      <c r="B125" s="2" t="s">
        <v>16</v>
      </c>
      <c r="C125" s="2" t="s">
        <v>32</v>
      </c>
      <c r="D125" s="2" t="s">
        <v>18</v>
      </c>
      <c r="E125" s="3">
        <v>21</v>
      </c>
      <c r="F125" s="3">
        <v>14.1</v>
      </c>
      <c r="G125" s="3">
        <v>18.5</v>
      </c>
      <c r="H125" s="3">
        <v>8.1</v>
      </c>
      <c r="I125" s="3">
        <v>3</v>
      </c>
      <c r="J125" s="3">
        <v>5</v>
      </c>
      <c r="K125" s="2" t="s">
        <v>19</v>
      </c>
      <c r="L125" s="2" t="s">
        <v>20</v>
      </c>
      <c r="M125" s="3">
        <v>0</v>
      </c>
      <c r="N125" s="2" t="s">
        <v>33</v>
      </c>
      <c r="O125" s="3">
        <v>71.900000000000006</v>
      </c>
    </row>
    <row r="126" spans="1:15" ht="14.4" x14ac:dyDescent="0.3">
      <c r="A126" s="2" t="s">
        <v>172</v>
      </c>
      <c r="B126" s="2" t="s">
        <v>31</v>
      </c>
      <c r="C126" s="2" t="s">
        <v>32</v>
      </c>
      <c r="D126" s="2" t="s">
        <v>18</v>
      </c>
      <c r="E126" s="3">
        <v>23</v>
      </c>
      <c r="F126" s="3">
        <v>12.7</v>
      </c>
      <c r="G126" s="3">
        <v>11.6</v>
      </c>
      <c r="H126" s="3">
        <v>6</v>
      </c>
      <c r="I126" s="3">
        <v>5</v>
      </c>
      <c r="J126" s="3">
        <v>2</v>
      </c>
      <c r="K126" s="2" t="s">
        <v>44</v>
      </c>
      <c r="L126" s="2" t="s">
        <v>59</v>
      </c>
      <c r="M126" s="3">
        <v>0</v>
      </c>
      <c r="N126" s="2" t="s">
        <v>33</v>
      </c>
      <c r="O126" s="3">
        <v>78.3</v>
      </c>
    </row>
    <row r="127" spans="1:15" ht="14.4" x14ac:dyDescent="0.3">
      <c r="A127" s="2" t="s">
        <v>173</v>
      </c>
      <c r="B127" s="2" t="s">
        <v>47</v>
      </c>
      <c r="C127" s="2" t="s">
        <v>71</v>
      </c>
      <c r="D127" s="2" t="s">
        <v>26</v>
      </c>
      <c r="E127" s="3">
        <v>28</v>
      </c>
      <c r="F127" s="3">
        <v>16.399999999999999</v>
      </c>
      <c r="G127" s="3">
        <v>25.5</v>
      </c>
      <c r="H127" s="3">
        <v>5.2</v>
      </c>
      <c r="I127" s="3">
        <v>1</v>
      </c>
      <c r="J127" s="3">
        <v>4</v>
      </c>
      <c r="K127" s="2" t="s">
        <v>44</v>
      </c>
      <c r="L127" s="2" t="s">
        <v>27</v>
      </c>
      <c r="M127" s="3">
        <v>1</v>
      </c>
      <c r="N127" s="2" t="s">
        <v>60</v>
      </c>
      <c r="O127" s="3">
        <v>65.599999999999994</v>
      </c>
    </row>
    <row r="128" spans="1:15" ht="14.4" x14ac:dyDescent="0.3">
      <c r="A128" s="2" t="s">
        <v>174</v>
      </c>
      <c r="B128" s="2" t="s">
        <v>36</v>
      </c>
      <c r="C128" s="2" t="s">
        <v>17</v>
      </c>
      <c r="D128" s="2" t="s">
        <v>26</v>
      </c>
      <c r="E128" s="3">
        <v>21</v>
      </c>
      <c r="F128" s="3">
        <v>9.8000000000000007</v>
      </c>
      <c r="G128" s="3">
        <v>9.8000000000000007</v>
      </c>
      <c r="H128" s="3">
        <v>7.3</v>
      </c>
      <c r="I128" s="3">
        <v>6</v>
      </c>
      <c r="J128" s="3">
        <v>5</v>
      </c>
      <c r="K128" s="2" t="s">
        <v>19</v>
      </c>
      <c r="L128" s="2" t="s">
        <v>20</v>
      </c>
      <c r="M128" s="3">
        <v>0</v>
      </c>
      <c r="N128" s="2" t="s">
        <v>33</v>
      </c>
      <c r="O128" s="3">
        <v>91.8</v>
      </c>
    </row>
    <row r="129" spans="1:15" ht="14.4" x14ac:dyDescent="0.3">
      <c r="A129" s="2" t="s">
        <v>175</v>
      </c>
      <c r="B129" s="2" t="s">
        <v>31</v>
      </c>
      <c r="C129" s="2" t="s">
        <v>25</v>
      </c>
      <c r="D129" s="2" t="s">
        <v>26</v>
      </c>
      <c r="E129" s="3">
        <v>25</v>
      </c>
      <c r="F129" s="3">
        <v>20.8</v>
      </c>
      <c r="G129" s="3">
        <v>9.8000000000000007</v>
      </c>
      <c r="H129" s="3">
        <v>9.3000000000000007</v>
      </c>
      <c r="I129" s="3">
        <v>2</v>
      </c>
      <c r="J129" s="3">
        <v>3</v>
      </c>
      <c r="K129" s="2" t="s">
        <v>19</v>
      </c>
      <c r="L129" s="2" t="s">
        <v>37</v>
      </c>
      <c r="M129" s="3">
        <v>1</v>
      </c>
      <c r="N129" s="2" t="s">
        <v>33</v>
      </c>
      <c r="O129" s="3">
        <v>99.9</v>
      </c>
    </row>
    <row r="130" spans="1:15" ht="14.4" x14ac:dyDescent="0.3">
      <c r="A130" s="2" t="s">
        <v>176</v>
      </c>
      <c r="B130" s="2" t="s">
        <v>16</v>
      </c>
      <c r="C130" s="2" t="s">
        <v>32</v>
      </c>
      <c r="D130" s="2" t="s">
        <v>26</v>
      </c>
      <c r="E130" s="3">
        <v>23</v>
      </c>
      <c r="F130" s="3">
        <v>18.5</v>
      </c>
      <c r="G130" s="3">
        <v>15.6</v>
      </c>
      <c r="H130" s="3">
        <v>8.9</v>
      </c>
      <c r="I130" s="3">
        <v>2</v>
      </c>
      <c r="J130" s="3">
        <v>5</v>
      </c>
      <c r="K130" s="2" t="s">
        <v>19</v>
      </c>
      <c r="L130" s="2" t="s">
        <v>20</v>
      </c>
      <c r="M130" s="3">
        <v>0</v>
      </c>
      <c r="N130" s="2" t="s">
        <v>49</v>
      </c>
      <c r="O130" s="3">
        <v>80.2</v>
      </c>
    </row>
    <row r="131" spans="1:15" ht="14.4" x14ac:dyDescent="0.3">
      <c r="A131" s="2" t="s">
        <v>177</v>
      </c>
      <c r="B131" s="2" t="s">
        <v>31</v>
      </c>
      <c r="C131" s="2" t="s">
        <v>48</v>
      </c>
      <c r="D131" s="2" t="s">
        <v>18</v>
      </c>
      <c r="E131" s="3">
        <v>24</v>
      </c>
      <c r="F131" s="3">
        <v>18.600000000000001</v>
      </c>
      <c r="G131" s="3">
        <v>74.900000000000006</v>
      </c>
      <c r="H131" s="3">
        <v>5.6</v>
      </c>
      <c r="I131" s="3">
        <v>3</v>
      </c>
      <c r="J131" s="3">
        <v>3</v>
      </c>
      <c r="K131" s="2" t="s">
        <v>19</v>
      </c>
      <c r="L131" s="2" t="s">
        <v>37</v>
      </c>
      <c r="M131" s="3">
        <v>0</v>
      </c>
      <c r="N131" s="2" t="s">
        <v>21</v>
      </c>
      <c r="O131" s="2"/>
    </row>
    <row r="132" spans="1:15" ht="14.4" x14ac:dyDescent="0.3">
      <c r="A132" s="2" t="s">
        <v>178</v>
      </c>
      <c r="B132" s="2" t="s">
        <v>31</v>
      </c>
      <c r="C132" s="2" t="s">
        <v>17</v>
      </c>
      <c r="D132" s="2" t="s">
        <v>18</v>
      </c>
      <c r="E132" s="3">
        <v>23</v>
      </c>
      <c r="F132" s="3">
        <v>17.600000000000001</v>
      </c>
      <c r="G132" s="3">
        <v>23.1</v>
      </c>
      <c r="H132" s="3">
        <v>6.9</v>
      </c>
      <c r="I132" s="3">
        <v>2</v>
      </c>
      <c r="J132" s="3">
        <v>5</v>
      </c>
      <c r="K132" s="2" t="s">
        <v>19</v>
      </c>
      <c r="L132" s="2" t="s">
        <v>54</v>
      </c>
      <c r="M132" s="3">
        <v>0</v>
      </c>
      <c r="N132" s="2" t="s">
        <v>60</v>
      </c>
      <c r="O132" s="3">
        <v>80.5</v>
      </c>
    </row>
    <row r="133" spans="1:15" ht="14.4" x14ac:dyDescent="0.3">
      <c r="A133" s="2" t="s">
        <v>179</v>
      </c>
      <c r="B133" s="2" t="s">
        <v>31</v>
      </c>
      <c r="C133" s="2" t="s">
        <v>17</v>
      </c>
      <c r="D133" s="2" t="s">
        <v>18</v>
      </c>
      <c r="E133" s="3">
        <v>25</v>
      </c>
      <c r="F133" s="2"/>
      <c r="G133" s="3">
        <v>13.7</v>
      </c>
      <c r="H133" s="3">
        <v>6.3</v>
      </c>
      <c r="I133" s="3">
        <v>2</v>
      </c>
      <c r="J133" s="3">
        <v>4</v>
      </c>
      <c r="K133" s="2" t="s">
        <v>19</v>
      </c>
      <c r="L133" s="2" t="s">
        <v>54</v>
      </c>
      <c r="M133" s="3">
        <v>1</v>
      </c>
      <c r="N133" s="2" t="s">
        <v>60</v>
      </c>
      <c r="O133" s="3">
        <v>90.6</v>
      </c>
    </row>
    <row r="134" spans="1:15" ht="14.4" x14ac:dyDescent="0.3">
      <c r="A134" s="2" t="s">
        <v>180</v>
      </c>
      <c r="B134" s="2" t="s">
        <v>36</v>
      </c>
      <c r="C134" s="2" t="s">
        <v>25</v>
      </c>
      <c r="D134" s="2" t="s">
        <v>18</v>
      </c>
      <c r="E134" s="3">
        <v>23</v>
      </c>
      <c r="F134" s="3">
        <v>12.6</v>
      </c>
      <c r="G134" s="3">
        <v>21</v>
      </c>
      <c r="H134" s="3">
        <v>7</v>
      </c>
      <c r="I134" s="3">
        <v>2</v>
      </c>
      <c r="J134" s="3">
        <v>3</v>
      </c>
      <c r="K134" s="2" t="s">
        <v>19</v>
      </c>
      <c r="L134" s="2" t="s">
        <v>37</v>
      </c>
      <c r="M134" s="3">
        <v>0</v>
      </c>
      <c r="N134" s="2" t="s">
        <v>33</v>
      </c>
      <c r="O134" s="3">
        <v>77.599999999999994</v>
      </c>
    </row>
    <row r="135" spans="1:15" ht="14.4" x14ac:dyDescent="0.3">
      <c r="A135" s="2" t="s">
        <v>181</v>
      </c>
      <c r="B135" s="2" t="s">
        <v>16</v>
      </c>
      <c r="C135" s="2" t="s">
        <v>71</v>
      </c>
      <c r="D135" s="2" t="s">
        <v>26</v>
      </c>
      <c r="E135" s="3">
        <v>23</v>
      </c>
      <c r="F135" s="3">
        <v>12.3</v>
      </c>
      <c r="G135" s="3">
        <v>17.399999999999999</v>
      </c>
      <c r="H135" s="3">
        <v>5.8</v>
      </c>
      <c r="I135" s="3">
        <v>3</v>
      </c>
      <c r="J135" s="3">
        <v>3</v>
      </c>
      <c r="K135" s="2" t="s">
        <v>19</v>
      </c>
      <c r="L135" s="2" t="s">
        <v>59</v>
      </c>
      <c r="M135" s="3">
        <v>2</v>
      </c>
      <c r="N135" s="2" t="s">
        <v>60</v>
      </c>
      <c r="O135" s="3">
        <v>81.7</v>
      </c>
    </row>
    <row r="136" spans="1:15" ht="14.4" x14ac:dyDescent="0.3">
      <c r="A136" s="2" t="s">
        <v>182</v>
      </c>
      <c r="B136" s="2" t="s">
        <v>31</v>
      </c>
      <c r="C136" s="2" t="s">
        <v>48</v>
      </c>
      <c r="D136" s="2" t="s">
        <v>26</v>
      </c>
      <c r="E136" s="3">
        <v>23</v>
      </c>
      <c r="F136" s="3">
        <v>23.1</v>
      </c>
      <c r="G136" s="3">
        <v>89.2</v>
      </c>
      <c r="H136" s="3">
        <v>6.4</v>
      </c>
      <c r="I136" s="3">
        <v>3</v>
      </c>
      <c r="J136" s="3">
        <v>2</v>
      </c>
      <c r="K136" s="2" t="s">
        <v>19</v>
      </c>
      <c r="L136" s="2" t="s">
        <v>27</v>
      </c>
      <c r="M136" s="3">
        <v>1</v>
      </c>
      <c r="N136" s="2" t="s">
        <v>60</v>
      </c>
      <c r="O136" s="3">
        <v>100</v>
      </c>
    </row>
    <row r="137" spans="1:15" ht="14.4" x14ac:dyDescent="0.3">
      <c r="A137" s="2" t="s">
        <v>183</v>
      </c>
      <c r="B137" s="2" t="s">
        <v>31</v>
      </c>
      <c r="C137" s="2" t="s">
        <v>25</v>
      </c>
      <c r="D137" s="2" t="s">
        <v>26</v>
      </c>
      <c r="E137" s="3">
        <v>26</v>
      </c>
      <c r="F137" s="3">
        <v>23.3</v>
      </c>
      <c r="G137" s="3">
        <v>191.9</v>
      </c>
      <c r="H137" s="3">
        <v>6.1</v>
      </c>
      <c r="I137" s="3">
        <v>7</v>
      </c>
      <c r="J137" s="3">
        <v>4</v>
      </c>
      <c r="K137" s="2" t="s">
        <v>19</v>
      </c>
      <c r="L137" s="2" t="s">
        <v>59</v>
      </c>
      <c r="M137" s="3">
        <v>2</v>
      </c>
      <c r="N137" s="2" t="s">
        <v>33</v>
      </c>
      <c r="O137" s="3">
        <v>74.3</v>
      </c>
    </row>
    <row r="138" spans="1:15" ht="14.4" x14ac:dyDescent="0.3">
      <c r="A138" s="2" t="s">
        <v>184</v>
      </c>
      <c r="B138" s="2" t="s">
        <v>24</v>
      </c>
      <c r="C138" s="2" t="s">
        <v>25</v>
      </c>
      <c r="D138" s="2" t="s">
        <v>26</v>
      </c>
      <c r="E138" s="3">
        <v>25</v>
      </c>
      <c r="F138" s="3">
        <v>10.4</v>
      </c>
      <c r="G138" s="3">
        <v>39.5</v>
      </c>
      <c r="H138" s="3">
        <v>6.9</v>
      </c>
      <c r="I138" s="3">
        <v>2</v>
      </c>
      <c r="J138" s="3">
        <v>4</v>
      </c>
      <c r="K138" s="2" t="s">
        <v>19</v>
      </c>
      <c r="L138" s="2" t="s">
        <v>27</v>
      </c>
      <c r="M138" s="3">
        <v>0</v>
      </c>
      <c r="N138" s="2" t="s">
        <v>38</v>
      </c>
      <c r="O138" s="3">
        <v>70.900000000000006</v>
      </c>
    </row>
    <row r="139" spans="1:15" ht="14.4" x14ac:dyDescent="0.3">
      <c r="A139" s="2" t="s">
        <v>185</v>
      </c>
      <c r="B139" s="2" t="s">
        <v>47</v>
      </c>
      <c r="C139" s="2" t="s">
        <v>17</v>
      </c>
      <c r="D139" s="2" t="s">
        <v>18</v>
      </c>
      <c r="E139" s="3">
        <v>20</v>
      </c>
      <c r="F139" s="3">
        <v>21</v>
      </c>
      <c r="G139" s="3">
        <v>15</v>
      </c>
      <c r="H139" s="3">
        <v>7.3</v>
      </c>
      <c r="I139" s="3">
        <v>6</v>
      </c>
      <c r="J139" s="3">
        <v>3</v>
      </c>
      <c r="K139" s="2" t="s">
        <v>19</v>
      </c>
      <c r="L139" s="2" t="s">
        <v>59</v>
      </c>
      <c r="M139" s="3">
        <v>2</v>
      </c>
      <c r="N139" s="2" t="s">
        <v>60</v>
      </c>
      <c r="O139" s="3">
        <v>77</v>
      </c>
    </row>
    <row r="140" spans="1:15" ht="14.4" x14ac:dyDescent="0.3">
      <c r="A140" s="2" t="s">
        <v>186</v>
      </c>
      <c r="B140" s="2" t="s">
        <v>24</v>
      </c>
      <c r="C140" s="2" t="s">
        <v>17</v>
      </c>
      <c r="D140" s="2" t="s">
        <v>26</v>
      </c>
      <c r="E140" s="3">
        <v>24</v>
      </c>
      <c r="F140" s="3">
        <v>17.899999999999999</v>
      </c>
      <c r="G140" s="3">
        <v>30.2</v>
      </c>
      <c r="H140" s="3">
        <v>7.4</v>
      </c>
      <c r="I140" s="3">
        <v>3</v>
      </c>
      <c r="J140" s="3">
        <v>4</v>
      </c>
      <c r="K140" s="2" t="s">
        <v>19</v>
      </c>
      <c r="L140" s="2" t="s">
        <v>54</v>
      </c>
      <c r="M140" s="3">
        <v>0</v>
      </c>
      <c r="N140" s="2" t="s">
        <v>38</v>
      </c>
      <c r="O140" s="3">
        <v>78.599999999999994</v>
      </c>
    </row>
    <row r="141" spans="1:15" ht="14.4" x14ac:dyDescent="0.3">
      <c r="A141" s="2" t="s">
        <v>187</v>
      </c>
      <c r="B141" s="2" t="s">
        <v>16</v>
      </c>
      <c r="C141" s="2" t="s">
        <v>17</v>
      </c>
      <c r="D141" s="2" t="s">
        <v>18</v>
      </c>
      <c r="E141" s="3">
        <v>24</v>
      </c>
      <c r="F141" s="3">
        <v>12.9</v>
      </c>
      <c r="G141" s="3">
        <v>24.1</v>
      </c>
      <c r="H141" s="3">
        <v>6.6</v>
      </c>
      <c r="I141" s="3">
        <v>4</v>
      </c>
      <c r="J141" s="3">
        <v>5</v>
      </c>
      <c r="K141" s="2" t="s">
        <v>19</v>
      </c>
      <c r="L141" s="2" t="s">
        <v>54</v>
      </c>
      <c r="M141" s="3">
        <v>0</v>
      </c>
      <c r="N141" s="2" t="s">
        <v>21</v>
      </c>
      <c r="O141" s="3">
        <v>81.099999999999994</v>
      </c>
    </row>
    <row r="142" spans="1:15" ht="14.4" x14ac:dyDescent="0.3">
      <c r="A142" s="2" t="s">
        <v>188</v>
      </c>
      <c r="B142" s="2" t="s">
        <v>36</v>
      </c>
      <c r="C142" s="2" t="s">
        <v>32</v>
      </c>
      <c r="D142" s="2" t="s">
        <v>18</v>
      </c>
      <c r="E142" s="3">
        <v>20</v>
      </c>
      <c r="F142" s="3">
        <v>14.3</v>
      </c>
      <c r="G142" s="3">
        <v>5.4</v>
      </c>
      <c r="H142" s="3">
        <v>6.8</v>
      </c>
      <c r="I142" s="3">
        <v>2</v>
      </c>
      <c r="J142" s="3">
        <v>5</v>
      </c>
      <c r="K142" s="2" t="s">
        <v>19</v>
      </c>
      <c r="L142" s="2" t="s">
        <v>20</v>
      </c>
      <c r="M142" s="3">
        <v>2</v>
      </c>
      <c r="N142" s="2" t="s">
        <v>38</v>
      </c>
      <c r="O142" s="3">
        <v>67.3</v>
      </c>
    </row>
    <row r="143" spans="1:15" ht="14.4" x14ac:dyDescent="0.3">
      <c r="A143" s="2" t="s">
        <v>189</v>
      </c>
      <c r="B143" s="2" t="s">
        <v>31</v>
      </c>
      <c r="C143" s="2" t="s">
        <v>71</v>
      </c>
      <c r="D143" s="2" t="s">
        <v>26</v>
      </c>
      <c r="E143" s="3">
        <v>22</v>
      </c>
      <c r="F143" s="3">
        <v>8.5</v>
      </c>
      <c r="G143" s="3">
        <v>29.6</v>
      </c>
      <c r="H143" s="3">
        <v>5.2</v>
      </c>
      <c r="I143" s="3">
        <v>4</v>
      </c>
      <c r="J143" s="3">
        <v>2</v>
      </c>
      <c r="K143" s="2" t="s">
        <v>19</v>
      </c>
      <c r="L143" s="2" t="s">
        <v>59</v>
      </c>
      <c r="M143" s="3">
        <v>1</v>
      </c>
      <c r="N143" s="2" t="s">
        <v>28</v>
      </c>
      <c r="O143" s="3">
        <v>59.1</v>
      </c>
    </row>
    <row r="144" spans="1:15" ht="14.4" x14ac:dyDescent="0.3">
      <c r="A144" s="2" t="s">
        <v>190</v>
      </c>
      <c r="B144" s="2" t="s">
        <v>47</v>
      </c>
      <c r="C144" s="2" t="s">
        <v>32</v>
      </c>
      <c r="D144" s="2" t="s">
        <v>18</v>
      </c>
      <c r="E144" s="3">
        <v>24</v>
      </c>
      <c r="F144" s="3">
        <v>21.9</v>
      </c>
      <c r="G144" s="3">
        <v>23</v>
      </c>
      <c r="H144" s="3">
        <v>7.3</v>
      </c>
      <c r="I144" s="3">
        <v>2</v>
      </c>
      <c r="J144" s="2"/>
      <c r="K144" s="2" t="s">
        <v>44</v>
      </c>
      <c r="L144" s="2" t="s">
        <v>27</v>
      </c>
      <c r="M144" s="3">
        <v>0</v>
      </c>
      <c r="N144" s="2" t="s">
        <v>33</v>
      </c>
      <c r="O144" s="3">
        <v>97.3</v>
      </c>
    </row>
    <row r="145" spans="1:15" ht="14.4" x14ac:dyDescent="0.3">
      <c r="A145" s="2" t="s">
        <v>191</v>
      </c>
      <c r="B145" s="2" t="s">
        <v>36</v>
      </c>
      <c r="C145" s="2" t="s">
        <v>17</v>
      </c>
      <c r="D145" s="2" t="s">
        <v>18</v>
      </c>
      <c r="E145" s="3">
        <v>20</v>
      </c>
      <c r="F145" s="3">
        <v>23.4</v>
      </c>
      <c r="G145" s="3">
        <v>28.5</v>
      </c>
      <c r="H145" s="3">
        <v>6.6</v>
      </c>
      <c r="I145" s="3">
        <v>2</v>
      </c>
      <c r="J145" s="3">
        <v>2</v>
      </c>
      <c r="K145" s="2" t="s">
        <v>19</v>
      </c>
      <c r="L145" s="2" t="s">
        <v>54</v>
      </c>
      <c r="M145" s="3">
        <v>0</v>
      </c>
      <c r="N145" s="2" t="s">
        <v>28</v>
      </c>
      <c r="O145" s="3">
        <v>83.4</v>
      </c>
    </row>
    <row r="146" spans="1:15" ht="14.4" x14ac:dyDescent="0.3">
      <c r="A146" s="2" t="s">
        <v>192</v>
      </c>
      <c r="B146" s="2" t="s">
        <v>36</v>
      </c>
      <c r="C146" s="2" t="s">
        <v>48</v>
      </c>
      <c r="D146" s="2" t="s">
        <v>26</v>
      </c>
      <c r="E146" s="3">
        <v>22</v>
      </c>
      <c r="F146" s="3">
        <v>3.2</v>
      </c>
      <c r="G146" s="3">
        <v>34.299999999999997</v>
      </c>
      <c r="H146" s="3">
        <v>4.7</v>
      </c>
      <c r="I146" s="3">
        <v>2</v>
      </c>
      <c r="J146" s="3">
        <v>3</v>
      </c>
      <c r="K146" s="2" t="s">
        <v>19</v>
      </c>
      <c r="L146" s="2" t="s">
        <v>20</v>
      </c>
      <c r="M146" s="3">
        <v>3</v>
      </c>
      <c r="N146" s="2" t="s">
        <v>28</v>
      </c>
      <c r="O146" s="3">
        <v>66.2</v>
      </c>
    </row>
    <row r="147" spans="1:15" ht="14.4" x14ac:dyDescent="0.3">
      <c r="A147" s="2" t="s">
        <v>193</v>
      </c>
      <c r="B147" s="2" t="s">
        <v>16</v>
      </c>
      <c r="C147" s="2" t="s">
        <v>17</v>
      </c>
      <c r="D147" s="2" t="s">
        <v>18</v>
      </c>
      <c r="E147" s="3">
        <v>23</v>
      </c>
      <c r="F147" s="3">
        <v>12.7</v>
      </c>
      <c r="G147" s="3">
        <v>30.4</v>
      </c>
      <c r="H147" s="3">
        <v>5.3</v>
      </c>
      <c r="I147" s="3">
        <v>4</v>
      </c>
      <c r="J147" s="3">
        <v>4</v>
      </c>
      <c r="K147" s="2" t="s">
        <v>19</v>
      </c>
      <c r="L147" s="2" t="s">
        <v>20</v>
      </c>
      <c r="M147" s="3">
        <v>0</v>
      </c>
      <c r="N147" s="2" t="s">
        <v>21</v>
      </c>
      <c r="O147" s="3">
        <v>68.7</v>
      </c>
    </row>
    <row r="148" spans="1:15" ht="14.4" x14ac:dyDescent="0.3">
      <c r="A148" s="2" t="s">
        <v>194</v>
      </c>
      <c r="B148" s="2" t="s">
        <v>36</v>
      </c>
      <c r="C148" s="2" t="s">
        <v>71</v>
      </c>
      <c r="D148" s="2" t="s">
        <v>18</v>
      </c>
      <c r="E148" s="3">
        <v>24</v>
      </c>
      <c r="F148" s="3">
        <v>8.8000000000000007</v>
      </c>
      <c r="G148" s="3">
        <v>39.9</v>
      </c>
      <c r="H148" s="3">
        <v>5.9</v>
      </c>
      <c r="I148" s="3">
        <v>2</v>
      </c>
      <c r="J148" s="3">
        <v>3</v>
      </c>
      <c r="K148" s="2" t="s">
        <v>19</v>
      </c>
      <c r="L148" s="2" t="s">
        <v>54</v>
      </c>
      <c r="M148" s="3">
        <v>3</v>
      </c>
      <c r="N148" s="2" t="s">
        <v>33</v>
      </c>
      <c r="O148" s="3">
        <v>74.3</v>
      </c>
    </row>
    <row r="149" spans="1:15" ht="14.4" x14ac:dyDescent="0.3">
      <c r="A149" s="2" t="s">
        <v>195</v>
      </c>
      <c r="B149" s="2" t="s">
        <v>24</v>
      </c>
      <c r="C149" s="2" t="s">
        <v>71</v>
      </c>
      <c r="D149" s="2" t="s">
        <v>26</v>
      </c>
      <c r="E149" s="3">
        <v>27</v>
      </c>
      <c r="F149" s="3">
        <v>11.6</v>
      </c>
      <c r="G149" s="2"/>
      <c r="H149" s="3">
        <v>7.2</v>
      </c>
      <c r="I149" s="3">
        <v>3</v>
      </c>
      <c r="J149" s="3">
        <v>5</v>
      </c>
      <c r="K149" s="2" t="s">
        <v>19</v>
      </c>
      <c r="L149" s="2" t="s">
        <v>27</v>
      </c>
      <c r="M149" s="3">
        <v>0</v>
      </c>
      <c r="N149" s="2" t="s">
        <v>49</v>
      </c>
      <c r="O149" s="3">
        <v>78.5</v>
      </c>
    </row>
    <row r="150" spans="1:15" ht="14.4" x14ac:dyDescent="0.3">
      <c r="A150" s="2" t="s">
        <v>196</v>
      </c>
      <c r="B150" s="2" t="s">
        <v>47</v>
      </c>
      <c r="C150" s="2" t="s">
        <v>17</v>
      </c>
      <c r="D150" s="2" t="s">
        <v>26</v>
      </c>
      <c r="E150" s="2"/>
      <c r="F150" s="3">
        <v>15.7</v>
      </c>
      <c r="G150" s="3">
        <v>52.6</v>
      </c>
      <c r="H150" s="3">
        <v>6.4</v>
      </c>
      <c r="I150" s="3">
        <v>2</v>
      </c>
      <c r="J150" s="3">
        <v>3</v>
      </c>
      <c r="K150" s="2" t="s">
        <v>44</v>
      </c>
      <c r="L150" s="2" t="s">
        <v>27</v>
      </c>
      <c r="M150" s="3">
        <v>1</v>
      </c>
      <c r="N150" s="2" t="s">
        <v>21</v>
      </c>
      <c r="O150" s="3">
        <v>85.1</v>
      </c>
    </row>
    <row r="151" spans="1:15" ht="14.4" x14ac:dyDescent="0.3">
      <c r="A151" s="2" t="s">
        <v>197</v>
      </c>
      <c r="B151" s="2" t="s">
        <v>31</v>
      </c>
      <c r="C151" s="2" t="s">
        <v>48</v>
      </c>
      <c r="D151" s="2" t="s">
        <v>26</v>
      </c>
      <c r="E151" s="3">
        <v>24</v>
      </c>
      <c r="F151" s="3">
        <v>18.399999999999999</v>
      </c>
      <c r="G151" s="3">
        <v>70.599999999999994</v>
      </c>
      <c r="H151" s="2"/>
      <c r="I151" s="3">
        <v>1</v>
      </c>
      <c r="J151" s="3">
        <v>2</v>
      </c>
      <c r="K151" s="2" t="s">
        <v>44</v>
      </c>
      <c r="L151" s="2" t="s">
        <v>20</v>
      </c>
      <c r="M151" s="3">
        <v>0</v>
      </c>
      <c r="N151" s="2" t="s">
        <v>21</v>
      </c>
      <c r="O151" s="3">
        <v>81.400000000000006</v>
      </c>
    </row>
    <row r="152" spans="1:15" ht="14.4" x14ac:dyDescent="0.3">
      <c r="A152" s="2" t="s">
        <v>198</v>
      </c>
      <c r="B152" s="2" t="s">
        <v>31</v>
      </c>
      <c r="C152" s="2" t="s">
        <v>32</v>
      </c>
      <c r="D152" s="2" t="s">
        <v>18</v>
      </c>
      <c r="E152" s="3">
        <v>20</v>
      </c>
      <c r="F152" s="3">
        <v>18.600000000000001</v>
      </c>
      <c r="G152" s="3">
        <v>44.3</v>
      </c>
      <c r="H152" s="3">
        <v>7</v>
      </c>
      <c r="I152" s="3">
        <v>6</v>
      </c>
      <c r="J152" s="3">
        <v>2</v>
      </c>
      <c r="K152" s="2" t="s">
        <v>19</v>
      </c>
      <c r="L152" s="2" t="s">
        <v>54</v>
      </c>
      <c r="M152" s="3">
        <v>0</v>
      </c>
      <c r="N152" s="2" t="s">
        <v>33</v>
      </c>
      <c r="O152" s="3">
        <v>83.7</v>
      </c>
    </row>
    <row r="153" spans="1:15" ht="14.4" x14ac:dyDescent="0.3">
      <c r="A153" s="2" t="s">
        <v>199</v>
      </c>
      <c r="B153" s="2" t="s">
        <v>31</v>
      </c>
      <c r="C153" s="2" t="s">
        <v>32</v>
      </c>
      <c r="D153" s="2" t="s">
        <v>26</v>
      </c>
      <c r="E153" s="3">
        <v>21</v>
      </c>
      <c r="F153" s="3">
        <v>9.8000000000000007</v>
      </c>
      <c r="G153" s="3">
        <v>176</v>
      </c>
      <c r="H153" s="3">
        <v>7.6</v>
      </c>
      <c r="I153" s="3">
        <v>4</v>
      </c>
      <c r="J153" s="3">
        <v>5</v>
      </c>
      <c r="K153" s="2" t="s">
        <v>19</v>
      </c>
      <c r="L153" s="2" t="s">
        <v>27</v>
      </c>
      <c r="M153" s="3">
        <v>0</v>
      </c>
      <c r="N153" s="2" t="s">
        <v>33</v>
      </c>
      <c r="O153" s="3">
        <v>70.099999999999994</v>
      </c>
    </row>
    <row r="154" spans="1:15" ht="14.4" x14ac:dyDescent="0.3">
      <c r="A154" s="2" t="s">
        <v>200</v>
      </c>
      <c r="B154" s="2" t="s">
        <v>16</v>
      </c>
      <c r="C154" s="2" t="s">
        <v>17</v>
      </c>
      <c r="D154" s="2" t="s">
        <v>18</v>
      </c>
      <c r="E154" s="3">
        <v>25</v>
      </c>
      <c r="F154" s="3">
        <v>18.100000000000001</v>
      </c>
      <c r="G154" s="3">
        <v>44.5</v>
      </c>
      <c r="H154" s="3">
        <v>7.6</v>
      </c>
      <c r="I154" s="3">
        <v>7</v>
      </c>
      <c r="J154" s="3">
        <v>4</v>
      </c>
      <c r="K154" s="2" t="s">
        <v>19</v>
      </c>
      <c r="L154" s="2" t="s">
        <v>27</v>
      </c>
      <c r="M154" s="3">
        <v>1</v>
      </c>
      <c r="N154" s="2" t="s">
        <v>60</v>
      </c>
      <c r="O154" s="3">
        <v>75.7</v>
      </c>
    </row>
    <row r="155" spans="1:15" ht="14.4" x14ac:dyDescent="0.3">
      <c r="A155" s="2" t="s">
        <v>201</v>
      </c>
      <c r="B155" s="2" t="s">
        <v>24</v>
      </c>
      <c r="C155" s="2" t="s">
        <v>71</v>
      </c>
      <c r="D155" s="2" t="s">
        <v>26</v>
      </c>
      <c r="E155" s="3">
        <v>26</v>
      </c>
      <c r="F155" s="3">
        <v>17</v>
      </c>
      <c r="G155" s="3">
        <v>19.399999999999999</v>
      </c>
      <c r="H155" s="3">
        <v>5.6</v>
      </c>
      <c r="I155" s="3">
        <v>2</v>
      </c>
      <c r="J155" s="3">
        <v>3</v>
      </c>
      <c r="K155" s="2" t="s">
        <v>44</v>
      </c>
      <c r="L155" s="2" t="s">
        <v>27</v>
      </c>
      <c r="M155" s="3">
        <v>0</v>
      </c>
      <c r="N155" s="2" t="s">
        <v>33</v>
      </c>
      <c r="O155" s="3">
        <v>75.599999999999994</v>
      </c>
    </row>
    <row r="156" spans="1:15" ht="14.4" x14ac:dyDescent="0.3">
      <c r="A156" s="2" t="s">
        <v>202</v>
      </c>
      <c r="B156" s="2" t="s">
        <v>31</v>
      </c>
      <c r="C156" s="2" t="s">
        <v>71</v>
      </c>
      <c r="D156" s="2" t="s">
        <v>18</v>
      </c>
      <c r="E156" s="3">
        <v>25</v>
      </c>
      <c r="F156" s="3">
        <v>5.0999999999999996</v>
      </c>
      <c r="G156" s="3">
        <v>154</v>
      </c>
      <c r="H156" s="3">
        <v>6.6</v>
      </c>
      <c r="I156" s="3">
        <v>2</v>
      </c>
      <c r="J156" s="3">
        <v>4</v>
      </c>
      <c r="K156" s="2" t="s">
        <v>19</v>
      </c>
      <c r="L156" s="2" t="s">
        <v>54</v>
      </c>
      <c r="M156" s="3">
        <v>0</v>
      </c>
      <c r="N156" s="2" t="s">
        <v>21</v>
      </c>
      <c r="O156" s="3">
        <v>50.4</v>
      </c>
    </row>
    <row r="157" spans="1:15" ht="14.4" x14ac:dyDescent="0.3">
      <c r="A157" s="2" t="s">
        <v>203</v>
      </c>
      <c r="B157" s="2" t="s">
        <v>24</v>
      </c>
      <c r="C157" s="2" t="s">
        <v>71</v>
      </c>
      <c r="D157" s="2" t="s">
        <v>18</v>
      </c>
      <c r="E157" s="3">
        <v>25</v>
      </c>
      <c r="F157" s="3">
        <v>7.5</v>
      </c>
      <c r="G157" s="3">
        <v>95.1</v>
      </c>
      <c r="H157" s="3">
        <v>9</v>
      </c>
      <c r="I157" s="3">
        <v>3</v>
      </c>
      <c r="J157" s="3">
        <v>4</v>
      </c>
      <c r="K157" s="2" t="s">
        <v>44</v>
      </c>
      <c r="L157" s="2" t="s">
        <v>20</v>
      </c>
      <c r="M157" s="3">
        <v>0</v>
      </c>
      <c r="N157" s="2" t="s">
        <v>60</v>
      </c>
      <c r="O157" s="3">
        <v>62.5</v>
      </c>
    </row>
    <row r="158" spans="1:15" ht="14.4" x14ac:dyDescent="0.3">
      <c r="A158" s="2" t="s">
        <v>204</v>
      </c>
      <c r="B158" s="2" t="s">
        <v>31</v>
      </c>
      <c r="C158" s="2" t="s">
        <v>48</v>
      </c>
      <c r="D158" s="2" t="s">
        <v>18</v>
      </c>
      <c r="E158" s="3">
        <v>28</v>
      </c>
      <c r="F158" s="3">
        <v>18.100000000000001</v>
      </c>
      <c r="G158" s="3">
        <v>37.200000000000003</v>
      </c>
      <c r="H158" s="3">
        <v>4.9000000000000004</v>
      </c>
      <c r="I158" s="3">
        <v>1</v>
      </c>
      <c r="J158" s="3">
        <v>2</v>
      </c>
      <c r="K158" s="2" t="s">
        <v>19</v>
      </c>
      <c r="L158" s="2" t="s">
        <v>54</v>
      </c>
      <c r="M158" s="3">
        <v>2</v>
      </c>
      <c r="N158" s="2" t="s">
        <v>28</v>
      </c>
      <c r="O158" s="3">
        <v>68.900000000000006</v>
      </c>
    </row>
    <row r="159" spans="1:15" ht="14.4" x14ac:dyDescent="0.3">
      <c r="A159" s="2" t="s">
        <v>205</v>
      </c>
      <c r="B159" s="2" t="s">
        <v>16</v>
      </c>
      <c r="C159" s="2" t="s">
        <v>71</v>
      </c>
      <c r="D159" s="2" t="s">
        <v>26</v>
      </c>
      <c r="E159" s="3">
        <v>22</v>
      </c>
      <c r="F159" s="3">
        <v>4.5</v>
      </c>
      <c r="G159" s="3">
        <v>11</v>
      </c>
      <c r="H159" s="3">
        <v>6.6</v>
      </c>
      <c r="I159" s="3">
        <v>2</v>
      </c>
      <c r="J159" s="3">
        <v>3</v>
      </c>
      <c r="K159" s="2" t="s">
        <v>19</v>
      </c>
      <c r="L159" s="2" t="s">
        <v>20</v>
      </c>
      <c r="M159" s="3">
        <v>0</v>
      </c>
      <c r="N159" s="2" t="s">
        <v>60</v>
      </c>
      <c r="O159" s="3">
        <v>67.400000000000006</v>
      </c>
    </row>
    <row r="160" spans="1:15" ht="14.4" x14ac:dyDescent="0.3">
      <c r="A160" s="2" t="s">
        <v>206</v>
      </c>
      <c r="B160" s="2" t="s">
        <v>31</v>
      </c>
      <c r="C160" s="2" t="s">
        <v>32</v>
      </c>
      <c r="D160" s="2" t="s">
        <v>26</v>
      </c>
      <c r="E160" s="3">
        <v>25</v>
      </c>
      <c r="F160" s="3">
        <v>18.3</v>
      </c>
      <c r="G160" s="3">
        <v>43.8</v>
      </c>
      <c r="H160" s="3">
        <v>6</v>
      </c>
      <c r="I160" s="3">
        <v>6</v>
      </c>
      <c r="J160" s="3">
        <v>2</v>
      </c>
      <c r="K160" s="2" t="s">
        <v>19</v>
      </c>
      <c r="L160" s="2" t="s">
        <v>27</v>
      </c>
      <c r="M160" s="3">
        <v>1</v>
      </c>
      <c r="N160" s="2" t="s">
        <v>33</v>
      </c>
      <c r="O160" s="2"/>
    </row>
    <row r="161" spans="1:15" ht="14.4" x14ac:dyDescent="0.3">
      <c r="A161" s="2" t="s">
        <v>207</v>
      </c>
      <c r="B161" s="2" t="s">
        <v>24</v>
      </c>
      <c r="C161" s="2" t="s">
        <v>32</v>
      </c>
      <c r="D161" s="2" t="s">
        <v>26</v>
      </c>
      <c r="E161" s="3">
        <v>26</v>
      </c>
      <c r="F161" s="3">
        <v>23.4</v>
      </c>
      <c r="G161" s="3">
        <v>61.7</v>
      </c>
      <c r="H161" s="3">
        <v>6.7</v>
      </c>
      <c r="I161" s="3">
        <v>1</v>
      </c>
      <c r="J161" s="3">
        <v>4</v>
      </c>
      <c r="K161" s="2" t="s">
        <v>19</v>
      </c>
      <c r="L161" s="2" t="s">
        <v>27</v>
      </c>
      <c r="M161" s="3">
        <v>0</v>
      </c>
      <c r="N161" s="2" t="s">
        <v>60</v>
      </c>
      <c r="O161" s="3">
        <v>95.6</v>
      </c>
    </row>
    <row r="162" spans="1:15" ht="14.4" x14ac:dyDescent="0.3">
      <c r="A162" s="2" t="s">
        <v>208</v>
      </c>
      <c r="B162" s="2" t="s">
        <v>31</v>
      </c>
      <c r="C162" s="2" t="s">
        <v>17</v>
      </c>
      <c r="D162" s="2" t="s">
        <v>26</v>
      </c>
      <c r="E162" s="3">
        <v>23</v>
      </c>
      <c r="F162" s="3">
        <v>12.1</v>
      </c>
      <c r="G162" s="3">
        <v>53.6</v>
      </c>
      <c r="H162" s="3">
        <v>6.7</v>
      </c>
      <c r="I162" s="3">
        <v>3</v>
      </c>
      <c r="J162" s="3">
        <v>3</v>
      </c>
      <c r="K162" s="2" t="s">
        <v>44</v>
      </c>
      <c r="L162" s="2" t="s">
        <v>20</v>
      </c>
      <c r="M162" s="3">
        <v>0</v>
      </c>
      <c r="N162" s="2" t="s">
        <v>28</v>
      </c>
      <c r="O162" s="3">
        <v>69.099999999999994</v>
      </c>
    </row>
    <row r="163" spans="1:15" ht="14.4" x14ac:dyDescent="0.3">
      <c r="A163" s="2" t="s">
        <v>209</v>
      </c>
      <c r="B163" s="2" t="s">
        <v>16</v>
      </c>
      <c r="C163" s="2" t="s">
        <v>32</v>
      </c>
      <c r="D163" s="2" t="s">
        <v>26</v>
      </c>
      <c r="E163" s="3">
        <v>20</v>
      </c>
      <c r="F163" s="3">
        <v>17.600000000000001</v>
      </c>
      <c r="G163" s="3">
        <v>21.8</v>
      </c>
      <c r="H163" s="3">
        <v>6.1</v>
      </c>
      <c r="I163" s="3">
        <v>5</v>
      </c>
      <c r="J163" s="3">
        <v>4</v>
      </c>
      <c r="K163" s="2" t="s">
        <v>19</v>
      </c>
      <c r="L163" s="2" t="s">
        <v>37</v>
      </c>
      <c r="M163" s="3">
        <v>1</v>
      </c>
      <c r="N163" s="2" t="s">
        <v>21</v>
      </c>
      <c r="O163" s="3">
        <v>88.6</v>
      </c>
    </row>
    <row r="164" spans="1:15" ht="14.4" x14ac:dyDescent="0.3">
      <c r="A164" s="2" t="s">
        <v>210</v>
      </c>
      <c r="B164" s="2" t="s">
        <v>24</v>
      </c>
      <c r="C164" s="2" t="s">
        <v>48</v>
      </c>
      <c r="D164" s="2" t="s">
        <v>26</v>
      </c>
      <c r="E164" s="3">
        <v>23</v>
      </c>
      <c r="F164" s="3">
        <v>18.100000000000001</v>
      </c>
      <c r="G164" s="3">
        <v>43.1</v>
      </c>
      <c r="H164" s="3">
        <v>8.6999999999999993</v>
      </c>
      <c r="I164" s="3">
        <v>8</v>
      </c>
      <c r="J164" s="3">
        <v>2</v>
      </c>
      <c r="K164" s="2" t="s">
        <v>19</v>
      </c>
      <c r="L164" s="2" t="s">
        <v>27</v>
      </c>
      <c r="M164" s="3">
        <v>0</v>
      </c>
      <c r="N164" s="2" t="s">
        <v>60</v>
      </c>
      <c r="O164" s="3">
        <v>88.1</v>
      </c>
    </row>
    <row r="165" spans="1:15" ht="14.4" x14ac:dyDescent="0.3">
      <c r="A165" s="2" t="s">
        <v>211</v>
      </c>
      <c r="B165" s="2" t="s">
        <v>31</v>
      </c>
      <c r="C165" s="2" t="s">
        <v>17</v>
      </c>
      <c r="D165" s="2" t="s">
        <v>18</v>
      </c>
      <c r="E165" s="3">
        <v>24</v>
      </c>
      <c r="F165" s="3">
        <v>20.8</v>
      </c>
      <c r="G165" s="3">
        <v>33.1</v>
      </c>
      <c r="H165" s="3">
        <v>7</v>
      </c>
      <c r="I165" s="3">
        <v>0</v>
      </c>
      <c r="J165" s="3">
        <v>4</v>
      </c>
      <c r="K165" s="2" t="s">
        <v>19</v>
      </c>
      <c r="L165" s="2" t="s">
        <v>27</v>
      </c>
      <c r="M165" s="3">
        <v>0</v>
      </c>
      <c r="N165" s="2" t="s">
        <v>38</v>
      </c>
      <c r="O165" s="3">
        <v>83.6</v>
      </c>
    </row>
    <row r="166" spans="1:15" ht="14.4" x14ac:dyDescent="0.3">
      <c r="A166" s="2" t="s">
        <v>212</v>
      </c>
      <c r="B166" s="2" t="s">
        <v>47</v>
      </c>
      <c r="C166" s="2" t="s">
        <v>32</v>
      </c>
      <c r="D166" s="2" t="s">
        <v>18</v>
      </c>
      <c r="E166" s="3">
        <v>28</v>
      </c>
      <c r="F166" s="3">
        <v>3.1</v>
      </c>
      <c r="G166" s="3">
        <v>19.7</v>
      </c>
      <c r="H166" s="3">
        <v>5</v>
      </c>
      <c r="I166" s="3">
        <v>3</v>
      </c>
      <c r="J166" s="2"/>
      <c r="K166" s="2" t="s">
        <v>19</v>
      </c>
      <c r="L166" s="2" t="s">
        <v>27</v>
      </c>
      <c r="M166" s="3">
        <v>1</v>
      </c>
      <c r="N166" s="2" t="s">
        <v>21</v>
      </c>
      <c r="O166" s="3">
        <v>77.400000000000006</v>
      </c>
    </row>
    <row r="167" spans="1:15" ht="14.4" x14ac:dyDescent="0.3">
      <c r="A167" s="2" t="s">
        <v>213</v>
      </c>
      <c r="B167" s="2" t="s">
        <v>31</v>
      </c>
      <c r="C167" s="2" t="s">
        <v>25</v>
      </c>
      <c r="D167" s="2" t="s">
        <v>18</v>
      </c>
      <c r="E167" s="3">
        <v>23</v>
      </c>
      <c r="F167" s="3">
        <v>17.899999999999999</v>
      </c>
      <c r="G167" s="3">
        <v>18.7</v>
      </c>
      <c r="H167" s="3">
        <v>7.2</v>
      </c>
      <c r="I167" s="3">
        <v>4</v>
      </c>
      <c r="J167" s="3">
        <v>5</v>
      </c>
      <c r="K167" s="2" t="s">
        <v>44</v>
      </c>
      <c r="L167" s="2" t="s">
        <v>27</v>
      </c>
      <c r="M167" s="3">
        <v>0</v>
      </c>
      <c r="N167" s="2" t="s">
        <v>33</v>
      </c>
      <c r="O167" s="3">
        <v>73.400000000000006</v>
      </c>
    </row>
    <row r="168" spans="1:15" ht="14.4" x14ac:dyDescent="0.3">
      <c r="A168" s="2" t="s">
        <v>214</v>
      </c>
      <c r="B168" s="2" t="s">
        <v>24</v>
      </c>
      <c r="C168" s="2" t="s">
        <v>48</v>
      </c>
      <c r="D168" s="2" t="s">
        <v>26</v>
      </c>
      <c r="E168" s="2"/>
      <c r="F168" s="3">
        <v>20.2</v>
      </c>
      <c r="G168" s="3">
        <v>104.5</v>
      </c>
      <c r="H168" s="3">
        <v>7.1</v>
      </c>
      <c r="I168" s="3">
        <v>4</v>
      </c>
      <c r="J168" s="3">
        <v>3</v>
      </c>
      <c r="K168" s="2" t="s">
        <v>19</v>
      </c>
      <c r="L168" s="2" t="s">
        <v>59</v>
      </c>
      <c r="M168" s="3">
        <v>3</v>
      </c>
      <c r="N168" s="2" t="s">
        <v>33</v>
      </c>
      <c r="O168" s="3">
        <v>81.099999999999994</v>
      </c>
    </row>
    <row r="169" spans="1:15" ht="14.4" x14ac:dyDescent="0.3">
      <c r="A169" s="2" t="s">
        <v>215</v>
      </c>
      <c r="B169" s="2" t="s">
        <v>24</v>
      </c>
      <c r="C169" s="2" t="s">
        <v>71</v>
      </c>
      <c r="D169" s="2" t="s">
        <v>18</v>
      </c>
      <c r="E169" s="3">
        <v>20</v>
      </c>
      <c r="F169" s="3">
        <v>17.8</v>
      </c>
      <c r="G169" s="3">
        <v>15.2</v>
      </c>
      <c r="H169" s="2"/>
      <c r="I169" s="3">
        <v>5</v>
      </c>
      <c r="J169" s="3">
        <v>4</v>
      </c>
      <c r="K169" s="2" t="s">
        <v>44</v>
      </c>
      <c r="L169" s="2" t="s">
        <v>27</v>
      </c>
      <c r="M169" s="3">
        <v>3</v>
      </c>
      <c r="N169" s="2" t="s">
        <v>21</v>
      </c>
      <c r="O169" s="3">
        <v>86.5</v>
      </c>
    </row>
    <row r="170" spans="1:15" ht="14.4" x14ac:dyDescent="0.3">
      <c r="A170" s="2" t="s">
        <v>216</v>
      </c>
      <c r="B170" s="2" t="s">
        <v>24</v>
      </c>
      <c r="C170" s="2" t="s">
        <v>17</v>
      </c>
      <c r="D170" s="2" t="s">
        <v>26</v>
      </c>
      <c r="E170" s="3">
        <v>26</v>
      </c>
      <c r="F170" s="3">
        <v>13.1</v>
      </c>
      <c r="G170" s="3">
        <v>63.8</v>
      </c>
      <c r="H170" s="3">
        <v>7.9</v>
      </c>
      <c r="I170" s="3">
        <v>1</v>
      </c>
      <c r="J170" s="3">
        <v>5</v>
      </c>
      <c r="K170" s="2" t="s">
        <v>19</v>
      </c>
      <c r="L170" s="2" t="s">
        <v>27</v>
      </c>
      <c r="M170" s="3">
        <v>0</v>
      </c>
      <c r="N170" s="2" t="s">
        <v>60</v>
      </c>
      <c r="O170" s="3">
        <v>74.3</v>
      </c>
    </row>
    <row r="171" spans="1:15" ht="14.4" x14ac:dyDescent="0.3">
      <c r="A171" s="2" t="s">
        <v>217</v>
      </c>
      <c r="B171" s="2" t="s">
        <v>16</v>
      </c>
      <c r="C171" s="2" t="s">
        <v>17</v>
      </c>
      <c r="D171" s="2" t="s">
        <v>18</v>
      </c>
      <c r="E171" s="3">
        <v>24</v>
      </c>
      <c r="F171" s="3">
        <v>21.6</v>
      </c>
      <c r="G171" s="3">
        <v>21.3</v>
      </c>
      <c r="H171" s="3">
        <v>7.5</v>
      </c>
      <c r="I171" s="3">
        <v>4</v>
      </c>
      <c r="J171" s="3">
        <v>3</v>
      </c>
      <c r="K171" s="2" t="s">
        <v>19</v>
      </c>
      <c r="L171" s="2" t="s">
        <v>59</v>
      </c>
      <c r="M171" s="3">
        <v>1</v>
      </c>
      <c r="N171" s="2" t="s">
        <v>33</v>
      </c>
      <c r="O171" s="3">
        <v>66.900000000000006</v>
      </c>
    </row>
    <row r="172" spans="1:15" ht="14.4" x14ac:dyDescent="0.3">
      <c r="A172" s="2" t="s">
        <v>218</v>
      </c>
      <c r="B172" s="2" t="s">
        <v>24</v>
      </c>
      <c r="C172" s="2" t="s">
        <v>71</v>
      </c>
      <c r="D172" s="2" t="s">
        <v>26</v>
      </c>
      <c r="E172" s="3">
        <v>25</v>
      </c>
      <c r="F172" s="3">
        <v>6.8</v>
      </c>
      <c r="G172" s="3">
        <v>62</v>
      </c>
      <c r="H172" s="3">
        <v>5.6</v>
      </c>
      <c r="I172" s="3">
        <v>3</v>
      </c>
      <c r="J172" s="3">
        <v>5</v>
      </c>
      <c r="K172" s="2" t="s">
        <v>19</v>
      </c>
      <c r="L172" s="2" t="s">
        <v>54</v>
      </c>
      <c r="M172" s="3">
        <v>0</v>
      </c>
      <c r="N172" s="2" t="s">
        <v>28</v>
      </c>
      <c r="O172" s="3">
        <v>59.1</v>
      </c>
    </row>
    <row r="173" spans="1:15" ht="14.4" x14ac:dyDescent="0.3">
      <c r="A173" s="2" t="s">
        <v>219</v>
      </c>
      <c r="B173" s="2" t="s">
        <v>24</v>
      </c>
      <c r="C173" s="2" t="s">
        <v>32</v>
      </c>
      <c r="D173" s="2" t="s">
        <v>26</v>
      </c>
      <c r="E173" s="3">
        <v>23</v>
      </c>
      <c r="F173" s="3">
        <v>15.3</v>
      </c>
      <c r="G173" s="3">
        <v>26.6</v>
      </c>
      <c r="H173" s="3">
        <v>4</v>
      </c>
      <c r="I173" s="3">
        <v>5</v>
      </c>
      <c r="J173" s="3">
        <v>4</v>
      </c>
      <c r="K173" s="2" t="s">
        <v>44</v>
      </c>
      <c r="L173" s="2" t="s">
        <v>54</v>
      </c>
      <c r="M173" s="3">
        <v>0</v>
      </c>
      <c r="N173" s="2" t="s">
        <v>33</v>
      </c>
      <c r="O173" s="3">
        <v>79.400000000000006</v>
      </c>
    </row>
    <row r="174" spans="1:15" ht="14.4" x14ac:dyDescent="0.3">
      <c r="A174" s="2" t="s">
        <v>220</v>
      </c>
      <c r="B174" s="2" t="s">
        <v>31</v>
      </c>
      <c r="C174" s="2" t="s">
        <v>71</v>
      </c>
      <c r="D174" s="2" t="s">
        <v>26</v>
      </c>
      <c r="E174" s="3">
        <v>22</v>
      </c>
      <c r="F174" s="3">
        <v>12.2</v>
      </c>
      <c r="G174" s="3">
        <v>44.8</v>
      </c>
      <c r="H174" s="3">
        <v>8.5</v>
      </c>
      <c r="I174" s="3">
        <v>4</v>
      </c>
      <c r="J174" s="3">
        <v>4</v>
      </c>
      <c r="K174" s="2" t="s">
        <v>19</v>
      </c>
      <c r="L174" s="2" t="s">
        <v>27</v>
      </c>
      <c r="M174" s="3">
        <v>2</v>
      </c>
      <c r="N174" s="2" t="s">
        <v>33</v>
      </c>
      <c r="O174" s="3">
        <v>77.099999999999994</v>
      </c>
    </row>
    <row r="175" spans="1:15" ht="14.4" x14ac:dyDescent="0.3">
      <c r="A175" s="2" t="s">
        <v>221</v>
      </c>
      <c r="B175" s="2" t="s">
        <v>36</v>
      </c>
      <c r="C175" s="2" t="s">
        <v>32</v>
      </c>
      <c r="D175" s="2" t="s">
        <v>26</v>
      </c>
      <c r="E175" s="3">
        <v>21</v>
      </c>
      <c r="F175" s="3">
        <v>10.5</v>
      </c>
      <c r="G175" s="3">
        <v>79.7</v>
      </c>
      <c r="H175" s="3">
        <v>9.1</v>
      </c>
      <c r="I175" s="3">
        <v>2</v>
      </c>
      <c r="J175" s="3">
        <v>5</v>
      </c>
      <c r="K175" s="2" t="s">
        <v>44</v>
      </c>
      <c r="L175" s="2" t="s">
        <v>54</v>
      </c>
      <c r="M175" s="3">
        <v>0</v>
      </c>
      <c r="N175" s="2" t="s">
        <v>38</v>
      </c>
      <c r="O175" s="3">
        <v>57.6</v>
      </c>
    </row>
    <row r="176" spans="1:15" ht="14.4" x14ac:dyDescent="0.3">
      <c r="A176" s="2" t="s">
        <v>222</v>
      </c>
      <c r="B176" s="2" t="s">
        <v>36</v>
      </c>
      <c r="C176" s="2" t="s">
        <v>48</v>
      </c>
      <c r="D176" s="2" t="s">
        <v>26</v>
      </c>
      <c r="E176" s="3">
        <v>24</v>
      </c>
      <c r="F176" s="3">
        <v>11.6</v>
      </c>
      <c r="G176" s="3">
        <v>46</v>
      </c>
      <c r="H176" s="3">
        <v>6.5</v>
      </c>
      <c r="I176" s="3">
        <v>2</v>
      </c>
      <c r="J176" s="3">
        <v>4</v>
      </c>
      <c r="K176" s="2" t="s">
        <v>19</v>
      </c>
      <c r="L176" s="2" t="s">
        <v>20</v>
      </c>
      <c r="M176" s="3">
        <v>0</v>
      </c>
      <c r="N176" s="2" t="s">
        <v>60</v>
      </c>
      <c r="O176" s="3">
        <v>76.900000000000006</v>
      </c>
    </row>
    <row r="177" spans="1:15" ht="14.4" x14ac:dyDescent="0.3">
      <c r="A177" s="2" t="s">
        <v>223</v>
      </c>
      <c r="B177" s="2" t="s">
        <v>31</v>
      </c>
      <c r="C177" s="2" t="s">
        <v>32</v>
      </c>
      <c r="D177" s="2" t="s">
        <v>18</v>
      </c>
      <c r="E177" s="3">
        <v>25</v>
      </c>
      <c r="F177" s="3">
        <v>19</v>
      </c>
      <c r="G177" s="3">
        <v>132</v>
      </c>
      <c r="H177" s="3">
        <v>8.9</v>
      </c>
      <c r="I177" s="3">
        <v>3</v>
      </c>
      <c r="J177" s="3">
        <v>4</v>
      </c>
      <c r="K177" s="2" t="s">
        <v>44</v>
      </c>
      <c r="L177" s="2" t="s">
        <v>54</v>
      </c>
      <c r="M177" s="3">
        <v>4</v>
      </c>
      <c r="N177" s="2" t="s">
        <v>28</v>
      </c>
      <c r="O177" s="3">
        <v>81.8</v>
      </c>
    </row>
    <row r="178" spans="1:15" ht="14.4" x14ac:dyDescent="0.3">
      <c r="A178" s="2" t="s">
        <v>224</v>
      </c>
      <c r="B178" s="2" t="s">
        <v>31</v>
      </c>
      <c r="C178" s="2" t="s">
        <v>25</v>
      </c>
      <c r="D178" s="2" t="s">
        <v>26</v>
      </c>
      <c r="E178" s="3">
        <v>23</v>
      </c>
      <c r="F178" s="3">
        <v>9.5</v>
      </c>
      <c r="G178" s="3">
        <v>18</v>
      </c>
      <c r="H178" s="3">
        <v>7.6</v>
      </c>
      <c r="I178" s="3">
        <v>3</v>
      </c>
      <c r="J178" s="3">
        <v>3</v>
      </c>
      <c r="K178" s="2" t="s">
        <v>19</v>
      </c>
      <c r="L178" s="2" t="s">
        <v>27</v>
      </c>
      <c r="M178" s="3">
        <v>0</v>
      </c>
      <c r="N178" s="2" t="s">
        <v>28</v>
      </c>
      <c r="O178" s="3">
        <v>74.400000000000006</v>
      </c>
    </row>
    <row r="179" spans="1:15" ht="14.4" x14ac:dyDescent="0.3">
      <c r="A179" s="2" t="s">
        <v>225</v>
      </c>
      <c r="B179" s="2" t="s">
        <v>31</v>
      </c>
      <c r="C179" s="2" t="s">
        <v>17</v>
      </c>
      <c r="D179" s="2" t="s">
        <v>18</v>
      </c>
      <c r="E179" s="3">
        <v>25</v>
      </c>
      <c r="F179" s="3">
        <v>20.2</v>
      </c>
      <c r="G179" s="3">
        <v>42.6</v>
      </c>
      <c r="H179" s="2"/>
      <c r="I179" s="3">
        <v>6</v>
      </c>
      <c r="J179" s="3">
        <v>2</v>
      </c>
      <c r="K179" s="2" t="s">
        <v>19</v>
      </c>
      <c r="L179" s="2" t="s">
        <v>59</v>
      </c>
      <c r="M179" s="3">
        <v>2</v>
      </c>
      <c r="N179" s="2" t="s">
        <v>60</v>
      </c>
      <c r="O179" s="3">
        <v>76.599999999999994</v>
      </c>
    </row>
    <row r="180" spans="1:15" ht="14.4" x14ac:dyDescent="0.3">
      <c r="A180" s="2" t="s">
        <v>226</v>
      </c>
      <c r="B180" s="2" t="s">
        <v>16</v>
      </c>
      <c r="C180" s="2" t="s">
        <v>25</v>
      </c>
      <c r="D180" s="2" t="s">
        <v>26</v>
      </c>
      <c r="E180" s="3">
        <v>24</v>
      </c>
      <c r="F180" s="3">
        <v>15.6</v>
      </c>
      <c r="G180" s="3">
        <v>34.299999999999997</v>
      </c>
      <c r="H180" s="3">
        <v>6.9</v>
      </c>
      <c r="I180" s="3">
        <v>2</v>
      </c>
      <c r="J180" s="3">
        <v>4</v>
      </c>
      <c r="K180" s="2" t="s">
        <v>19</v>
      </c>
      <c r="L180" s="2" t="s">
        <v>20</v>
      </c>
      <c r="M180" s="3">
        <v>2</v>
      </c>
      <c r="N180" s="2" t="s">
        <v>60</v>
      </c>
      <c r="O180" s="3">
        <v>82.6</v>
      </c>
    </row>
    <row r="181" spans="1:15" ht="14.4" x14ac:dyDescent="0.3">
      <c r="A181" s="2" t="s">
        <v>227</v>
      </c>
      <c r="B181" s="2" t="s">
        <v>24</v>
      </c>
      <c r="C181" s="2" t="s">
        <v>32</v>
      </c>
      <c r="D181" s="2" t="s">
        <v>26</v>
      </c>
      <c r="E181" s="3">
        <v>23</v>
      </c>
      <c r="F181" s="3">
        <v>6.8</v>
      </c>
      <c r="G181" s="3">
        <v>18.100000000000001</v>
      </c>
      <c r="H181" s="3">
        <v>7.9</v>
      </c>
      <c r="I181" s="3">
        <v>6</v>
      </c>
      <c r="J181" s="3">
        <v>5</v>
      </c>
      <c r="K181" s="2" t="s">
        <v>19</v>
      </c>
      <c r="L181" s="2" t="s">
        <v>27</v>
      </c>
      <c r="M181" s="3">
        <v>0</v>
      </c>
      <c r="N181" s="2" t="s">
        <v>38</v>
      </c>
      <c r="O181" s="3">
        <v>83.4</v>
      </c>
    </row>
    <row r="182" spans="1:15" ht="14.4" x14ac:dyDescent="0.3">
      <c r="A182" s="2" t="s">
        <v>228</v>
      </c>
      <c r="B182" s="2" t="s">
        <v>31</v>
      </c>
      <c r="C182" s="2" t="s">
        <v>48</v>
      </c>
      <c r="D182" s="2" t="s">
        <v>18</v>
      </c>
      <c r="E182" s="3">
        <v>23</v>
      </c>
      <c r="F182" s="3">
        <v>24.2</v>
      </c>
      <c r="G182" s="3">
        <v>74.400000000000006</v>
      </c>
      <c r="H182" s="3">
        <v>7.1</v>
      </c>
      <c r="I182" s="3">
        <v>3</v>
      </c>
      <c r="J182" s="3">
        <v>5</v>
      </c>
      <c r="K182" s="2" t="s">
        <v>19</v>
      </c>
      <c r="L182" s="2" t="s">
        <v>59</v>
      </c>
      <c r="M182" s="3">
        <v>0</v>
      </c>
      <c r="N182" s="2" t="s">
        <v>49</v>
      </c>
      <c r="O182" s="3">
        <v>80.2</v>
      </c>
    </row>
    <row r="183" spans="1:15" ht="14.4" x14ac:dyDescent="0.3">
      <c r="A183" s="2" t="s">
        <v>229</v>
      </c>
      <c r="B183" s="2" t="s">
        <v>24</v>
      </c>
      <c r="C183" s="2" t="s">
        <v>25</v>
      </c>
      <c r="D183" s="2" t="s">
        <v>18</v>
      </c>
      <c r="E183" s="3">
        <v>28</v>
      </c>
      <c r="F183" s="3">
        <v>30.8</v>
      </c>
      <c r="G183" s="3">
        <v>19.5</v>
      </c>
      <c r="H183" s="2"/>
      <c r="I183" s="3">
        <v>0</v>
      </c>
      <c r="J183" s="3">
        <v>4</v>
      </c>
      <c r="K183" s="2" t="s">
        <v>19</v>
      </c>
      <c r="L183" s="2" t="s">
        <v>54</v>
      </c>
      <c r="M183" s="3">
        <v>0</v>
      </c>
      <c r="N183" s="2" t="s">
        <v>21</v>
      </c>
      <c r="O183" s="3">
        <v>100</v>
      </c>
    </row>
    <row r="184" spans="1:15" ht="14.4" x14ac:dyDescent="0.3">
      <c r="A184" s="2" t="s">
        <v>230</v>
      </c>
      <c r="B184" s="2" t="s">
        <v>47</v>
      </c>
      <c r="C184" s="2" t="s">
        <v>17</v>
      </c>
      <c r="D184" s="2" t="s">
        <v>18</v>
      </c>
      <c r="E184" s="3">
        <v>28</v>
      </c>
      <c r="F184" s="3">
        <v>18.8</v>
      </c>
      <c r="G184" s="3">
        <v>29.5</v>
      </c>
      <c r="H184" s="3">
        <v>6.4</v>
      </c>
      <c r="I184" s="3">
        <v>0</v>
      </c>
      <c r="J184" s="3">
        <v>4</v>
      </c>
      <c r="K184" s="2" t="s">
        <v>19</v>
      </c>
      <c r="L184" s="2" t="s">
        <v>54</v>
      </c>
      <c r="M184" s="2"/>
      <c r="N184" s="2" t="s">
        <v>38</v>
      </c>
      <c r="O184" s="3">
        <v>75.7</v>
      </c>
    </row>
    <row r="185" spans="1:15" ht="14.4" x14ac:dyDescent="0.3">
      <c r="A185" s="2" t="s">
        <v>231</v>
      </c>
      <c r="B185" s="2" t="s">
        <v>16</v>
      </c>
      <c r="C185" s="2" t="s">
        <v>32</v>
      </c>
      <c r="D185" s="2" t="s">
        <v>26</v>
      </c>
      <c r="E185" s="3">
        <v>22</v>
      </c>
      <c r="F185" s="3">
        <v>11.3</v>
      </c>
      <c r="G185" s="3">
        <v>11.8</v>
      </c>
      <c r="H185" s="3">
        <v>7.1</v>
      </c>
      <c r="I185" s="3">
        <v>7</v>
      </c>
      <c r="J185" s="3">
        <v>4</v>
      </c>
      <c r="K185" s="2" t="s">
        <v>19</v>
      </c>
      <c r="L185" s="2" t="s">
        <v>59</v>
      </c>
      <c r="M185" s="3">
        <v>1</v>
      </c>
      <c r="N185" s="2" t="s">
        <v>33</v>
      </c>
      <c r="O185" s="3">
        <v>82.1</v>
      </c>
    </row>
    <row r="186" spans="1:15" ht="14.4" x14ac:dyDescent="0.3">
      <c r="A186" s="2" t="s">
        <v>232</v>
      </c>
      <c r="B186" s="2" t="s">
        <v>24</v>
      </c>
      <c r="C186" s="2" t="s">
        <v>32</v>
      </c>
      <c r="D186" s="2" t="s">
        <v>26</v>
      </c>
      <c r="E186" s="3">
        <v>26</v>
      </c>
      <c r="F186" s="3">
        <v>15.5</v>
      </c>
      <c r="G186" s="3">
        <v>68.8</v>
      </c>
      <c r="H186" s="3">
        <v>8.5</v>
      </c>
      <c r="I186" s="3">
        <v>3</v>
      </c>
      <c r="J186" s="3">
        <v>2</v>
      </c>
      <c r="K186" s="2" t="s">
        <v>19</v>
      </c>
      <c r="L186" s="2" t="s">
        <v>27</v>
      </c>
      <c r="M186" s="3">
        <v>1</v>
      </c>
      <c r="N186" s="2" t="s">
        <v>49</v>
      </c>
      <c r="O186" s="3">
        <v>84.5</v>
      </c>
    </row>
    <row r="187" spans="1:15" ht="14.4" x14ac:dyDescent="0.3">
      <c r="A187" s="2" t="s">
        <v>233</v>
      </c>
      <c r="B187" s="2" t="s">
        <v>36</v>
      </c>
      <c r="C187" s="2" t="s">
        <v>17</v>
      </c>
      <c r="D187" s="2" t="s">
        <v>26</v>
      </c>
      <c r="E187" s="3">
        <v>27</v>
      </c>
      <c r="F187" s="3">
        <v>23.8</v>
      </c>
      <c r="G187" s="3">
        <v>32.6</v>
      </c>
      <c r="H187" s="3">
        <v>6.1</v>
      </c>
      <c r="I187" s="3">
        <v>8</v>
      </c>
      <c r="J187" s="3">
        <v>2</v>
      </c>
      <c r="K187" s="2" t="s">
        <v>19</v>
      </c>
      <c r="L187" s="2" t="s">
        <v>37</v>
      </c>
      <c r="M187" s="3">
        <v>0</v>
      </c>
      <c r="N187" s="2" t="s">
        <v>60</v>
      </c>
      <c r="O187" s="3">
        <v>93.3</v>
      </c>
    </row>
    <row r="188" spans="1:15" ht="14.4" x14ac:dyDescent="0.3">
      <c r="A188" s="2" t="s">
        <v>234</v>
      </c>
      <c r="B188" s="2" t="s">
        <v>36</v>
      </c>
      <c r="C188" s="2" t="s">
        <v>17</v>
      </c>
      <c r="D188" s="2" t="s">
        <v>18</v>
      </c>
      <c r="E188" s="3">
        <v>23</v>
      </c>
      <c r="F188" s="3">
        <v>12.2</v>
      </c>
      <c r="G188" s="3">
        <v>58.2</v>
      </c>
      <c r="H188" s="3">
        <v>7.3</v>
      </c>
      <c r="I188" s="3">
        <v>7</v>
      </c>
      <c r="J188" s="3">
        <v>3</v>
      </c>
      <c r="K188" s="2" t="s">
        <v>19</v>
      </c>
      <c r="L188" s="2" t="s">
        <v>59</v>
      </c>
      <c r="M188" s="3">
        <v>2</v>
      </c>
      <c r="N188" s="2" t="s">
        <v>60</v>
      </c>
      <c r="O188" s="3">
        <v>71.900000000000006</v>
      </c>
    </row>
    <row r="189" spans="1:15" ht="14.4" x14ac:dyDescent="0.3">
      <c r="A189" s="2" t="s">
        <v>235</v>
      </c>
      <c r="B189" s="2" t="s">
        <v>47</v>
      </c>
      <c r="C189" s="2" t="s">
        <v>25</v>
      </c>
      <c r="D189" s="2" t="s">
        <v>18</v>
      </c>
      <c r="E189" s="3">
        <v>23</v>
      </c>
      <c r="F189" s="3">
        <v>17.2</v>
      </c>
      <c r="G189" s="3">
        <v>29.5</v>
      </c>
      <c r="H189" s="3">
        <v>6.4</v>
      </c>
      <c r="I189" s="3">
        <v>5</v>
      </c>
      <c r="J189" s="3">
        <v>4</v>
      </c>
      <c r="K189" s="2" t="s">
        <v>19</v>
      </c>
      <c r="L189" s="2" t="s">
        <v>54</v>
      </c>
      <c r="M189" s="3">
        <v>2</v>
      </c>
      <c r="N189" s="2" t="s">
        <v>33</v>
      </c>
      <c r="O189" s="3">
        <v>87.9</v>
      </c>
    </row>
    <row r="190" spans="1:15" ht="14.4" x14ac:dyDescent="0.3">
      <c r="A190" s="2" t="s">
        <v>236</v>
      </c>
      <c r="B190" s="2" t="s">
        <v>31</v>
      </c>
      <c r="C190" s="2" t="s">
        <v>25</v>
      </c>
      <c r="D190" s="2" t="s">
        <v>26</v>
      </c>
      <c r="E190" s="3">
        <v>21</v>
      </c>
      <c r="F190" s="3">
        <v>18.3</v>
      </c>
      <c r="G190" s="3">
        <v>66.400000000000006</v>
      </c>
      <c r="H190" s="3">
        <v>8.6999999999999993</v>
      </c>
      <c r="I190" s="3">
        <v>4</v>
      </c>
      <c r="J190" s="3">
        <v>3</v>
      </c>
      <c r="K190" s="2" t="s">
        <v>19</v>
      </c>
      <c r="L190" s="2" t="s">
        <v>27</v>
      </c>
      <c r="M190" s="3">
        <v>0</v>
      </c>
      <c r="N190" s="2" t="s">
        <v>60</v>
      </c>
      <c r="O190" s="3">
        <v>85.7</v>
      </c>
    </row>
    <row r="191" spans="1:15" ht="14.4" x14ac:dyDescent="0.3">
      <c r="A191" s="2" t="s">
        <v>237</v>
      </c>
      <c r="B191" s="2" t="s">
        <v>16</v>
      </c>
      <c r="C191" s="2" t="s">
        <v>17</v>
      </c>
      <c r="D191" s="2" t="s">
        <v>18</v>
      </c>
      <c r="E191" s="3">
        <v>23</v>
      </c>
      <c r="F191" s="3">
        <v>19.600000000000001</v>
      </c>
      <c r="G191" s="3">
        <v>26.1</v>
      </c>
      <c r="H191" s="3">
        <v>7.2</v>
      </c>
      <c r="I191" s="3">
        <v>4</v>
      </c>
      <c r="J191" s="3">
        <v>4</v>
      </c>
      <c r="K191" s="2" t="s">
        <v>19</v>
      </c>
      <c r="L191" s="2" t="s">
        <v>20</v>
      </c>
      <c r="M191" s="3">
        <v>0</v>
      </c>
      <c r="N191" s="2" t="s">
        <v>60</v>
      </c>
      <c r="O191" s="3">
        <v>86.9</v>
      </c>
    </row>
    <row r="192" spans="1:15" ht="14.4" x14ac:dyDescent="0.3">
      <c r="A192" s="2" t="s">
        <v>238</v>
      </c>
      <c r="B192" s="2" t="s">
        <v>31</v>
      </c>
      <c r="C192" s="2" t="s">
        <v>17</v>
      </c>
      <c r="D192" s="2" t="s">
        <v>18</v>
      </c>
      <c r="E192" s="3">
        <v>27</v>
      </c>
      <c r="F192" s="3">
        <v>27.8</v>
      </c>
      <c r="G192" s="3">
        <v>38.1</v>
      </c>
      <c r="H192" s="3">
        <v>6.5</v>
      </c>
      <c r="I192" s="3">
        <v>2</v>
      </c>
      <c r="J192" s="3">
        <v>4</v>
      </c>
      <c r="K192" s="2" t="s">
        <v>19</v>
      </c>
      <c r="L192" s="2" t="s">
        <v>54</v>
      </c>
      <c r="M192" s="3">
        <v>2</v>
      </c>
      <c r="N192" s="2" t="s">
        <v>28</v>
      </c>
      <c r="O192" s="3">
        <v>100</v>
      </c>
    </row>
    <row r="193" spans="1:15" ht="14.4" x14ac:dyDescent="0.3">
      <c r="A193" s="2" t="s">
        <v>239</v>
      </c>
      <c r="B193" s="2" t="s">
        <v>36</v>
      </c>
      <c r="C193" s="2" t="s">
        <v>32</v>
      </c>
      <c r="D193" s="2" t="s">
        <v>26</v>
      </c>
      <c r="E193" s="3">
        <v>26</v>
      </c>
      <c r="F193" s="3">
        <v>12.9</v>
      </c>
      <c r="G193" s="2"/>
      <c r="H193" s="3">
        <v>7</v>
      </c>
      <c r="I193" s="3">
        <v>2</v>
      </c>
      <c r="J193" s="3">
        <v>2</v>
      </c>
      <c r="K193" s="2" t="s">
        <v>44</v>
      </c>
      <c r="L193" s="2" t="s">
        <v>59</v>
      </c>
      <c r="M193" s="3">
        <v>1</v>
      </c>
      <c r="N193" s="2" t="s">
        <v>38</v>
      </c>
      <c r="O193" s="3">
        <v>76.5</v>
      </c>
    </row>
    <row r="194" spans="1:15" ht="14.4" x14ac:dyDescent="0.3">
      <c r="A194" s="2" t="s">
        <v>240</v>
      </c>
      <c r="B194" s="2" t="s">
        <v>16</v>
      </c>
      <c r="C194" s="2" t="s">
        <v>32</v>
      </c>
      <c r="D194" s="2" t="s">
        <v>26</v>
      </c>
      <c r="E194" s="3">
        <v>24</v>
      </c>
      <c r="F194" s="3">
        <v>15.1</v>
      </c>
      <c r="G194" s="3">
        <v>6.3</v>
      </c>
      <c r="H194" s="3">
        <v>7.5</v>
      </c>
      <c r="I194" s="3">
        <v>3</v>
      </c>
      <c r="J194" s="3">
        <v>4</v>
      </c>
      <c r="K194" s="2" t="s">
        <v>19</v>
      </c>
      <c r="L194" s="2" t="s">
        <v>20</v>
      </c>
      <c r="M194" s="3">
        <v>0</v>
      </c>
      <c r="N194" s="2" t="s">
        <v>33</v>
      </c>
      <c r="O194" s="2"/>
    </row>
    <row r="195" spans="1:15" ht="14.4" x14ac:dyDescent="0.3">
      <c r="A195" s="2" t="s">
        <v>241</v>
      </c>
      <c r="B195" s="2" t="s">
        <v>31</v>
      </c>
      <c r="C195" s="2" t="s">
        <v>71</v>
      </c>
      <c r="D195" s="2" t="s">
        <v>18</v>
      </c>
      <c r="E195" s="3">
        <v>21</v>
      </c>
      <c r="F195" s="3">
        <v>12.5</v>
      </c>
      <c r="G195" s="3">
        <v>37.200000000000003</v>
      </c>
      <c r="H195" s="3">
        <v>4.2</v>
      </c>
      <c r="I195" s="3">
        <v>7</v>
      </c>
      <c r="J195" s="3">
        <v>5</v>
      </c>
      <c r="K195" s="2" t="s">
        <v>19</v>
      </c>
      <c r="L195" s="2" t="s">
        <v>27</v>
      </c>
      <c r="M195" s="3">
        <v>0</v>
      </c>
      <c r="N195" s="2" t="s">
        <v>33</v>
      </c>
      <c r="O195" s="3">
        <v>71.7</v>
      </c>
    </row>
    <row r="196" spans="1:15" ht="14.4" x14ac:dyDescent="0.3">
      <c r="A196" s="2" t="s">
        <v>242</v>
      </c>
      <c r="B196" s="2" t="s">
        <v>31</v>
      </c>
      <c r="C196" s="2" t="s">
        <v>71</v>
      </c>
      <c r="D196" s="2" t="s">
        <v>18</v>
      </c>
      <c r="E196" s="2"/>
      <c r="F196" s="3">
        <v>21.1</v>
      </c>
      <c r="G196" s="2"/>
      <c r="H196" s="2"/>
      <c r="I196" s="3">
        <v>4</v>
      </c>
      <c r="J196" s="3">
        <v>3</v>
      </c>
      <c r="K196" s="2" t="s">
        <v>19</v>
      </c>
      <c r="L196" s="2" t="s">
        <v>27</v>
      </c>
      <c r="M196" s="3">
        <v>1</v>
      </c>
      <c r="N196" s="2" t="s">
        <v>38</v>
      </c>
      <c r="O196" s="3">
        <v>93.3</v>
      </c>
    </row>
    <row r="197" spans="1:15" ht="14.4" x14ac:dyDescent="0.3">
      <c r="A197" s="2" t="s">
        <v>243</v>
      </c>
      <c r="B197" s="2" t="s">
        <v>31</v>
      </c>
      <c r="C197" s="2" t="s">
        <v>32</v>
      </c>
      <c r="D197" s="2" t="s">
        <v>18</v>
      </c>
      <c r="E197" s="3">
        <v>24</v>
      </c>
      <c r="F197" s="3">
        <v>17.399999999999999</v>
      </c>
      <c r="G197" s="3">
        <v>66.8</v>
      </c>
      <c r="H197" s="3">
        <v>8</v>
      </c>
      <c r="I197" s="3">
        <v>3</v>
      </c>
      <c r="J197" s="3">
        <v>3</v>
      </c>
      <c r="K197" s="2" t="s">
        <v>19</v>
      </c>
      <c r="L197" s="2" t="s">
        <v>54</v>
      </c>
      <c r="M197" s="3">
        <v>0</v>
      </c>
      <c r="N197" s="2" t="s">
        <v>28</v>
      </c>
      <c r="O197" s="3">
        <v>86.3</v>
      </c>
    </row>
    <row r="198" spans="1:15" ht="14.4" x14ac:dyDescent="0.3">
      <c r="A198" s="2" t="s">
        <v>244</v>
      </c>
      <c r="B198" s="2" t="s">
        <v>24</v>
      </c>
      <c r="C198" s="2" t="s">
        <v>17</v>
      </c>
      <c r="D198" s="2" t="s">
        <v>26</v>
      </c>
      <c r="E198" s="3">
        <v>26</v>
      </c>
      <c r="F198" s="3">
        <v>8.9</v>
      </c>
      <c r="G198" s="3">
        <v>63.3</v>
      </c>
      <c r="H198" s="3">
        <v>7.2</v>
      </c>
      <c r="I198" s="3">
        <v>3</v>
      </c>
      <c r="J198" s="3">
        <v>2</v>
      </c>
      <c r="K198" s="2" t="s">
        <v>44</v>
      </c>
      <c r="L198" s="2" t="s">
        <v>59</v>
      </c>
      <c r="M198" s="3">
        <v>1</v>
      </c>
      <c r="N198" s="2" t="s">
        <v>21</v>
      </c>
      <c r="O198" s="3">
        <v>72.7</v>
      </c>
    </row>
    <row r="199" spans="1:15" ht="14.4" x14ac:dyDescent="0.3">
      <c r="A199" s="2" t="s">
        <v>245</v>
      </c>
      <c r="B199" s="2" t="s">
        <v>36</v>
      </c>
      <c r="C199" s="2" t="s">
        <v>71</v>
      </c>
      <c r="D199" s="2" t="s">
        <v>18</v>
      </c>
      <c r="E199" s="3">
        <v>25</v>
      </c>
      <c r="F199" s="3">
        <v>14.7</v>
      </c>
      <c r="G199" s="3">
        <v>13.6</v>
      </c>
      <c r="H199" s="3">
        <v>6.9</v>
      </c>
      <c r="I199" s="3">
        <v>4</v>
      </c>
      <c r="J199" s="3">
        <v>3</v>
      </c>
      <c r="K199" s="2" t="s">
        <v>19</v>
      </c>
      <c r="L199" s="2" t="s">
        <v>27</v>
      </c>
      <c r="M199" s="3">
        <v>0</v>
      </c>
      <c r="N199" s="2" t="s">
        <v>60</v>
      </c>
      <c r="O199" s="3">
        <v>77.2</v>
      </c>
    </row>
    <row r="200" spans="1:15" ht="14.4" x14ac:dyDescent="0.3">
      <c r="A200" s="2" t="s">
        <v>246</v>
      </c>
      <c r="B200" s="2" t="s">
        <v>31</v>
      </c>
      <c r="C200" s="2" t="s">
        <v>25</v>
      </c>
      <c r="D200" s="2" t="s">
        <v>26</v>
      </c>
      <c r="E200" s="3">
        <v>21</v>
      </c>
      <c r="F200" s="3">
        <v>21.2</v>
      </c>
      <c r="G200" s="3">
        <v>16.100000000000001</v>
      </c>
      <c r="H200" s="3">
        <v>8.9</v>
      </c>
      <c r="I200" s="3">
        <v>4</v>
      </c>
      <c r="J200" s="3">
        <v>3</v>
      </c>
      <c r="K200" s="2" t="s">
        <v>19</v>
      </c>
      <c r="L200" s="2" t="s">
        <v>59</v>
      </c>
      <c r="M200" s="3">
        <v>1</v>
      </c>
      <c r="N200" s="2" t="s">
        <v>60</v>
      </c>
      <c r="O200" s="3">
        <v>65.3</v>
      </c>
    </row>
    <row r="201" spans="1:15" ht="14.4" x14ac:dyDescent="0.3">
      <c r="A201" s="2" t="s">
        <v>247</v>
      </c>
      <c r="B201" s="2" t="s">
        <v>47</v>
      </c>
      <c r="C201" s="2" t="s">
        <v>17</v>
      </c>
      <c r="D201" s="2" t="s">
        <v>26</v>
      </c>
      <c r="E201" s="3">
        <v>25</v>
      </c>
      <c r="F201" s="3">
        <v>19.899999999999999</v>
      </c>
      <c r="G201" s="3">
        <v>17.2</v>
      </c>
      <c r="H201" s="3">
        <v>6.9</v>
      </c>
      <c r="I201" s="3">
        <v>3</v>
      </c>
      <c r="J201" s="3">
        <v>3</v>
      </c>
      <c r="K201" s="2" t="s">
        <v>44</v>
      </c>
      <c r="L201" s="2" t="s">
        <v>20</v>
      </c>
      <c r="M201" s="3">
        <v>0</v>
      </c>
      <c r="N201" s="2" t="s">
        <v>60</v>
      </c>
      <c r="O201" s="3">
        <v>86.8</v>
      </c>
    </row>
    <row r="202" spans="1:15" ht="14.4" x14ac:dyDescent="0.3">
      <c r="A202" s="2" t="s">
        <v>248</v>
      </c>
      <c r="B202" s="2" t="s">
        <v>36</v>
      </c>
      <c r="C202" s="2" t="s">
        <v>71</v>
      </c>
      <c r="D202" s="2" t="s">
        <v>18</v>
      </c>
      <c r="E202" s="3">
        <v>23</v>
      </c>
      <c r="F202" s="3">
        <v>13.7</v>
      </c>
      <c r="G202" s="3">
        <v>13.7</v>
      </c>
      <c r="H202" s="3">
        <v>7</v>
      </c>
      <c r="I202" s="3">
        <v>2</v>
      </c>
      <c r="J202" s="3">
        <v>4</v>
      </c>
      <c r="K202" s="2" t="s">
        <v>44</v>
      </c>
      <c r="L202" s="2" t="s">
        <v>27</v>
      </c>
      <c r="M202" s="3">
        <v>1</v>
      </c>
      <c r="N202" s="2" t="s">
        <v>33</v>
      </c>
      <c r="O202" s="3">
        <v>71.099999999999994</v>
      </c>
    </row>
    <row r="203" spans="1:15" ht="14.4" x14ac:dyDescent="0.3">
      <c r="A203" s="2" t="s">
        <v>249</v>
      </c>
      <c r="B203" s="2" t="s">
        <v>24</v>
      </c>
      <c r="C203" s="2" t="s">
        <v>71</v>
      </c>
      <c r="D203" s="2" t="s">
        <v>26</v>
      </c>
      <c r="E203" s="3">
        <v>24</v>
      </c>
      <c r="F203" s="3">
        <v>17</v>
      </c>
      <c r="G203" s="3">
        <v>238.9</v>
      </c>
      <c r="H203" s="3">
        <v>5.5</v>
      </c>
      <c r="I203" s="3">
        <v>3</v>
      </c>
      <c r="J203" s="3">
        <v>4</v>
      </c>
      <c r="K203" s="2" t="s">
        <v>19</v>
      </c>
      <c r="L203" s="2" t="s">
        <v>27</v>
      </c>
      <c r="M203" s="3">
        <v>3</v>
      </c>
      <c r="N203" s="2" t="s">
        <v>33</v>
      </c>
      <c r="O203" s="3">
        <v>76.099999999999994</v>
      </c>
    </row>
    <row r="204" spans="1:15" ht="14.4" x14ac:dyDescent="0.3">
      <c r="A204" s="2" t="s">
        <v>250</v>
      </c>
      <c r="B204" s="2" t="s">
        <v>24</v>
      </c>
      <c r="C204" s="2" t="s">
        <v>17</v>
      </c>
      <c r="D204" s="2" t="s">
        <v>26</v>
      </c>
      <c r="E204" s="3">
        <v>23</v>
      </c>
      <c r="F204" s="2"/>
      <c r="G204" s="3">
        <v>35.200000000000003</v>
      </c>
      <c r="H204" s="3">
        <v>6.6</v>
      </c>
      <c r="I204" s="3">
        <v>3</v>
      </c>
      <c r="J204" s="3">
        <v>3</v>
      </c>
      <c r="K204" s="2" t="s">
        <v>19</v>
      </c>
      <c r="L204" s="2" t="s">
        <v>37</v>
      </c>
      <c r="M204" s="3">
        <v>1</v>
      </c>
      <c r="N204" s="2" t="s">
        <v>33</v>
      </c>
      <c r="O204" s="3">
        <v>75.3</v>
      </c>
    </row>
    <row r="205" spans="1:15" ht="14.4" x14ac:dyDescent="0.3">
      <c r="A205" s="2" t="s">
        <v>251</v>
      </c>
      <c r="B205" s="2" t="s">
        <v>31</v>
      </c>
      <c r="C205" s="2" t="s">
        <v>71</v>
      </c>
      <c r="D205" s="2" t="s">
        <v>18</v>
      </c>
      <c r="E205" s="3">
        <v>23</v>
      </c>
      <c r="F205" s="3">
        <v>11.4</v>
      </c>
      <c r="G205" s="3">
        <v>16.600000000000001</v>
      </c>
      <c r="H205" s="3">
        <v>6</v>
      </c>
      <c r="I205" s="3">
        <v>3</v>
      </c>
      <c r="J205" s="3">
        <v>3</v>
      </c>
      <c r="K205" s="2" t="s">
        <v>44</v>
      </c>
      <c r="L205" s="2" t="s">
        <v>27</v>
      </c>
      <c r="M205" s="3">
        <v>0</v>
      </c>
      <c r="N205" s="2" t="s">
        <v>33</v>
      </c>
      <c r="O205" s="3">
        <v>72.5</v>
      </c>
    </row>
    <row r="206" spans="1:15" ht="14.4" x14ac:dyDescent="0.3">
      <c r="A206" s="2" t="s">
        <v>252</v>
      </c>
      <c r="B206" s="2" t="s">
        <v>31</v>
      </c>
      <c r="C206" s="2" t="s">
        <v>17</v>
      </c>
      <c r="D206" s="2" t="s">
        <v>26</v>
      </c>
      <c r="E206" s="3">
        <v>22</v>
      </c>
      <c r="F206" s="3">
        <v>16.8</v>
      </c>
      <c r="G206" s="3">
        <v>27.7</v>
      </c>
      <c r="H206" s="3">
        <v>7.8</v>
      </c>
      <c r="I206" s="3">
        <v>5</v>
      </c>
      <c r="J206" s="3">
        <v>2</v>
      </c>
      <c r="K206" s="2" t="s">
        <v>19</v>
      </c>
      <c r="L206" s="2" t="s">
        <v>27</v>
      </c>
      <c r="M206" s="3">
        <v>0</v>
      </c>
      <c r="N206" s="2" t="s">
        <v>33</v>
      </c>
      <c r="O206" s="3">
        <v>91.3</v>
      </c>
    </row>
    <row r="207" spans="1:15" ht="14.4" x14ac:dyDescent="0.3">
      <c r="A207" s="2" t="s">
        <v>253</v>
      </c>
      <c r="B207" s="2" t="s">
        <v>24</v>
      </c>
      <c r="C207" s="2" t="s">
        <v>17</v>
      </c>
      <c r="D207" s="2" t="s">
        <v>26</v>
      </c>
      <c r="E207" s="3">
        <v>26</v>
      </c>
      <c r="F207" s="3">
        <v>21</v>
      </c>
      <c r="G207" s="3">
        <v>48</v>
      </c>
      <c r="H207" s="3">
        <v>3.8</v>
      </c>
      <c r="I207" s="3">
        <v>1</v>
      </c>
      <c r="J207" s="3">
        <v>3</v>
      </c>
      <c r="K207" s="2" t="s">
        <v>19</v>
      </c>
      <c r="L207" s="2" t="s">
        <v>59</v>
      </c>
      <c r="M207" s="3">
        <v>0</v>
      </c>
      <c r="N207" s="2" t="s">
        <v>28</v>
      </c>
      <c r="O207" s="3">
        <v>85.2</v>
      </c>
    </row>
    <row r="208" spans="1:15" ht="14.4" x14ac:dyDescent="0.3">
      <c r="A208" s="2" t="s">
        <v>254</v>
      </c>
      <c r="B208" s="2" t="s">
        <v>31</v>
      </c>
      <c r="C208" s="2" t="s">
        <v>48</v>
      </c>
      <c r="D208" s="2" t="s">
        <v>26</v>
      </c>
      <c r="E208" s="3">
        <v>21</v>
      </c>
      <c r="F208" s="3">
        <v>26.4</v>
      </c>
      <c r="G208" s="3">
        <v>50.4</v>
      </c>
      <c r="H208" s="2"/>
      <c r="I208" s="3">
        <v>4</v>
      </c>
      <c r="J208" s="3">
        <v>2</v>
      </c>
      <c r="K208" s="2" t="s">
        <v>19</v>
      </c>
      <c r="L208" s="2" t="s">
        <v>27</v>
      </c>
      <c r="M208" s="3">
        <v>2</v>
      </c>
      <c r="N208" s="2" t="s">
        <v>38</v>
      </c>
      <c r="O208" s="3">
        <v>100</v>
      </c>
    </row>
    <row r="209" spans="1:15" ht="14.4" x14ac:dyDescent="0.3">
      <c r="A209" s="2" t="s">
        <v>255</v>
      </c>
      <c r="B209" s="2" t="s">
        <v>16</v>
      </c>
      <c r="C209" s="2" t="s">
        <v>17</v>
      </c>
      <c r="D209" s="2" t="s">
        <v>18</v>
      </c>
      <c r="E209" s="3">
        <v>23</v>
      </c>
      <c r="F209" s="3">
        <v>11.4</v>
      </c>
      <c r="G209" s="3">
        <v>20.9</v>
      </c>
      <c r="H209" s="3">
        <v>7</v>
      </c>
      <c r="I209" s="3">
        <v>5</v>
      </c>
      <c r="J209" s="3">
        <v>2</v>
      </c>
      <c r="K209" s="2" t="s">
        <v>19</v>
      </c>
      <c r="L209" s="2" t="s">
        <v>54</v>
      </c>
      <c r="M209" s="3">
        <v>0</v>
      </c>
      <c r="N209" s="2" t="s">
        <v>38</v>
      </c>
      <c r="O209" s="3">
        <v>74.599999999999994</v>
      </c>
    </row>
    <row r="210" spans="1:15" ht="14.4" x14ac:dyDescent="0.3">
      <c r="A210" s="2" t="s">
        <v>256</v>
      </c>
      <c r="B210" s="2" t="s">
        <v>47</v>
      </c>
      <c r="C210" s="2" t="s">
        <v>48</v>
      </c>
      <c r="D210" s="2" t="s">
        <v>18</v>
      </c>
      <c r="E210" s="3">
        <v>21</v>
      </c>
      <c r="F210" s="3">
        <v>11.5</v>
      </c>
      <c r="G210" s="3">
        <v>33</v>
      </c>
      <c r="H210" s="3">
        <v>5.9</v>
      </c>
      <c r="I210" s="3">
        <v>6</v>
      </c>
      <c r="J210" s="3">
        <v>4</v>
      </c>
      <c r="K210" s="2" t="s">
        <v>19</v>
      </c>
      <c r="L210" s="2" t="s">
        <v>20</v>
      </c>
      <c r="M210" s="3">
        <v>0</v>
      </c>
      <c r="N210" s="2" t="s">
        <v>33</v>
      </c>
      <c r="O210" s="3">
        <v>64</v>
      </c>
    </row>
    <row r="211" spans="1:15" ht="14.4" x14ac:dyDescent="0.3">
      <c r="A211" s="2" t="s">
        <v>257</v>
      </c>
      <c r="B211" s="2" t="s">
        <v>36</v>
      </c>
      <c r="C211" s="2" t="s">
        <v>32</v>
      </c>
      <c r="D211" s="2" t="s">
        <v>26</v>
      </c>
      <c r="E211" s="3">
        <v>24</v>
      </c>
      <c r="F211" s="3">
        <v>23.5</v>
      </c>
      <c r="G211" s="3">
        <v>27</v>
      </c>
      <c r="H211" s="3">
        <v>5.6</v>
      </c>
      <c r="I211" s="3">
        <v>2</v>
      </c>
      <c r="J211" s="3">
        <v>5</v>
      </c>
      <c r="K211" s="2" t="s">
        <v>19</v>
      </c>
      <c r="L211" s="2" t="s">
        <v>54</v>
      </c>
      <c r="M211" s="3">
        <v>0</v>
      </c>
      <c r="N211" s="2" t="s">
        <v>28</v>
      </c>
      <c r="O211" s="3">
        <v>94.8</v>
      </c>
    </row>
    <row r="212" spans="1:15" ht="14.4" x14ac:dyDescent="0.3">
      <c r="A212" s="2" t="s">
        <v>258</v>
      </c>
      <c r="B212" s="2" t="s">
        <v>31</v>
      </c>
      <c r="C212" s="2" t="s">
        <v>17</v>
      </c>
      <c r="D212" s="2" t="s">
        <v>26</v>
      </c>
      <c r="E212" s="3">
        <v>24</v>
      </c>
      <c r="F212" s="3">
        <v>13.4</v>
      </c>
      <c r="G212" s="3">
        <v>7.2</v>
      </c>
      <c r="H212" s="3">
        <v>7.3</v>
      </c>
      <c r="I212" s="3">
        <v>4</v>
      </c>
      <c r="J212" s="3">
        <v>3</v>
      </c>
      <c r="K212" s="2" t="s">
        <v>19</v>
      </c>
      <c r="L212" s="2" t="s">
        <v>54</v>
      </c>
      <c r="M212" s="3">
        <v>2</v>
      </c>
      <c r="N212" s="2" t="s">
        <v>33</v>
      </c>
      <c r="O212" s="3">
        <v>70.900000000000006</v>
      </c>
    </row>
    <row r="213" spans="1:15" ht="14.4" x14ac:dyDescent="0.3">
      <c r="A213" s="2" t="s">
        <v>259</v>
      </c>
      <c r="B213" s="2" t="s">
        <v>24</v>
      </c>
      <c r="C213" s="2" t="s">
        <v>32</v>
      </c>
      <c r="D213" s="2" t="s">
        <v>18</v>
      </c>
      <c r="E213" s="3">
        <v>22</v>
      </c>
      <c r="F213" s="3">
        <v>20.100000000000001</v>
      </c>
      <c r="G213" s="3">
        <v>66.599999999999994</v>
      </c>
      <c r="H213" s="3">
        <v>5.6</v>
      </c>
      <c r="I213" s="3">
        <v>3</v>
      </c>
      <c r="J213" s="3">
        <v>2</v>
      </c>
      <c r="K213" s="2" t="s">
        <v>19</v>
      </c>
      <c r="L213" s="2" t="s">
        <v>54</v>
      </c>
      <c r="M213" s="3">
        <v>0</v>
      </c>
      <c r="N213" s="2" t="s">
        <v>49</v>
      </c>
      <c r="O213" s="3">
        <v>62.1</v>
      </c>
    </row>
    <row r="214" spans="1:15" ht="14.4" x14ac:dyDescent="0.3">
      <c r="A214" s="2" t="s">
        <v>260</v>
      </c>
      <c r="B214" s="2" t="s">
        <v>31</v>
      </c>
      <c r="C214" s="2" t="s">
        <v>32</v>
      </c>
      <c r="D214" s="2" t="s">
        <v>26</v>
      </c>
      <c r="E214" s="3">
        <v>21</v>
      </c>
      <c r="F214" s="3">
        <v>20.399999999999999</v>
      </c>
      <c r="G214" s="3">
        <v>56.1</v>
      </c>
      <c r="H214" s="3">
        <v>6.2</v>
      </c>
      <c r="I214" s="3">
        <v>3</v>
      </c>
      <c r="J214" s="3">
        <v>5</v>
      </c>
      <c r="K214" s="2" t="s">
        <v>19</v>
      </c>
      <c r="L214" s="2" t="s">
        <v>27</v>
      </c>
      <c r="M214" s="3">
        <v>0</v>
      </c>
      <c r="N214" s="2" t="s">
        <v>33</v>
      </c>
      <c r="O214" s="3">
        <v>92.5</v>
      </c>
    </row>
    <row r="215" spans="1:15" ht="14.4" x14ac:dyDescent="0.3">
      <c r="A215" s="2" t="s">
        <v>261</v>
      </c>
      <c r="B215" s="2" t="s">
        <v>24</v>
      </c>
      <c r="C215" s="2" t="s">
        <v>17</v>
      </c>
      <c r="D215" s="2" t="s">
        <v>18</v>
      </c>
      <c r="E215" s="3">
        <v>25</v>
      </c>
      <c r="F215" s="3">
        <v>13.1</v>
      </c>
      <c r="G215" s="3">
        <v>10.1</v>
      </c>
      <c r="H215" s="3">
        <v>6</v>
      </c>
      <c r="I215" s="3">
        <v>0</v>
      </c>
      <c r="J215" s="3">
        <v>5</v>
      </c>
      <c r="K215" s="2" t="s">
        <v>19</v>
      </c>
      <c r="L215" s="2" t="s">
        <v>20</v>
      </c>
      <c r="M215" s="3">
        <v>0</v>
      </c>
      <c r="N215" s="2" t="s">
        <v>28</v>
      </c>
      <c r="O215" s="3">
        <v>77.900000000000006</v>
      </c>
    </row>
    <row r="216" spans="1:15" ht="14.4" x14ac:dyDescent="0.3">
      <c r="A216" s="2" t="s">
        <v>262</v>
      </c>
      <c r="B216" s="2" t="s">
        <v>36</v>
      </c>
      <c r="C216" s="2" t="s">
        <v>32</v>
      </c>
      <c r="D216" s="2" t="s">
        <v>18</v>
      </c>
      <c r="E216" s="3">
        <v>23</v>
      </c>
      <c r="F216" s="2"/>
      <c r="G216" s="3">
        <v>60.3</v>
      </c>
      <c r="H216" s="3">
        <v>6.9</v>
      </c>
      <c r="I216" s="3">
        <v>2</v>
      </c>
      <c r="J216" s="3">
        <v>5</v>
      </c>
      <c r="K216" s="2" t="s">
        <v>19</v>
      </c>
      <c r="L216" s="2" t="s">
        <v>20</v>
      </c>
      <c r="M216" s="3">
        <v>0</v>
      </c>
      <c r="N216" s="2" t="s">
        <v>38</v>
      </c>
      <c r="O216" s="2"/>
    </row>
    <row r="217" spans="1:15" ht="14.4" x14ac:dyDescent="0.3">
      <c r="A217" s="2" t="s">
        <v>263</v>
      </c>
      <c r="B217" s="2" t="s">
        <v>36</v>
      </c>
      <c r="C217" s="2" t="s">
        <v>25</v>
      </c>
      <c r="D217" s="2" t="s">
        <v>26</v>
      </c>
      <c r="E217" s="3">
        <v>25</v>
      </c>
      <c r="F217" s="3">
        <v>16.600000000000001</v>
      </c>
      <c r="G217" s="3">
        <v>11.1</v>
      </c>
      <c r="H217" s="3">
        <v>5.4</v>
      </c>
      <c r="I217" s="3">
        <v>1</v>
      </c>
      <c r="J217" s="3">
        <v>3</v>
      </c>
      <c r="K217" s="2" t="s">
        <v>44</v>
      </c>
      <c r="L217" s="2" t="s">
        <v>27</v>
      </c>
      <c r="M217" s="3">
        <v>0</v>
      </c>
      <c r="N217" s="2" t="s">
        <v>33</v>
      </c>
      <c r="O217" s="2"/>
    </row>
    <row r="218" spans="1:15" ht="14.4" x14ac:dyDescent="0.3">
      <c r="A218" s="2" t="s">
        <v>264</v>
      </c>
      <c r="B218" s="2" t="s">
        <v>31</v>
      </c>
      <c r="C218" s="2" t="s">
        <v>17</v>
      </c>
      <c r="D218" s="2" t="s">
        <v>26</v>
      </c>
      <c r="E218" s="3">
        <v>22</v>
      </c>
      <c r="F218" s="3">
        <v>16.2</v>
      </c>
      <c r="G218" s="3">
        <v>13.4</v>
      </c>
      <c r="H218" s="3">
        <v>8.1</v>
      </c>
      <c r="I218" s="3">
        <v>2</v>
      </c>
      <c r="J218" s="2"/>
      <c r="K218" s="2" t="s">
        <v>19</v>
      </c>
      <c r="L218" s="2" t="s">
        <v>54</v>
      </c>
      <c r="M218" s="3">
        <v>0</v>
      </c>
      <c r="N218" s="2" t="s">
        <v>33</v>
      </c>
      <c r="O218" s="3">
        <v>98.8</v>
      </c>
    </row>
    <row r="219" spans="1:15" ht="14.4" x14ac:dyDescent="0.3">
      <c r="A219" s="2" t="s">
        <v>265</v>
      </c>
      <c r="B219" s="2" t="s">
        <v>47</v>
      </c>
      <c r="C219" s="2" t="s">
        <v>48</v>
      </c>
      <c r="D219" s="2" t="s">
        <v>26</v>
      </c>
      <c r="E219" s="3">
        <v>20</v>
      </c>
      <c r="F219" s="3">
        <v>7.5</v>
      </c>
      <c r="G219" s="3">
        <v>58</v>
      </c>
      <c r="H219" s="3">
        <v>7</v>
      </c>
      <c r="I219" s="3">
        <v>4</v>
      </c>
      <c r="J219" s="2"/>
      <c r="K219" s="2" t="s">
        <v>19</v>
      </c>
      <c r="L219" s="2" t="s">
        <v>27</v>
      </c>
      <c r="M219" s="3">
        <v>1</v>
      </c>
      <c r="N219" s="2" t="s">
        <v>49</v>
      </c>
      <c r="O219" s="3">
        <v>75.8</v>
      </c>
    </row>
    <row r="220" spans="1:15" ht="14.4" x14ac:dyDescent="0.3">
      <c r="A220" s="2" t="s">
        <v>266</v>
      </c>
      <c r="B220" s="2" t="s">
        <v>31</v>
      </c>
      <c r="C220" s="2" t="s">
        <v>32</v>
      </c>
      <c r="D220" s="2" t="s">
        <v>26</v>
      </c>
      <c r="E220" s="3">
        <v>27</v>
      </c>
      <c r="F220" s="3">
        <v>22.2</v>
      </c>
      <c r="G220" s="3">
        <v>70.900000000000006</v>
      </c>
      <c r="H220" s="3">
        <v>6.5</v>
      </c>
      <c r="I220" s="3">
        <v>4</v>
      </c>
      <c r="J220" s="3">
        <v>4</v>
      </c>
      <c r="K220" s="2" t="s">
        <v>19</v>
      </c>
      <c r="L220" s="2" t="s">
        <v>59</v>
      </c>
      <c r="M220" s="3">
        <v>2</v>
      </c>
      <c r="N220" s="2" t="s">
        <v>33</v>
      </c>
      <c r="O220" s="3">
        <v>87.9</v>
      </c>
    </row>
    <row r="221" spans="1:15" ht="14.4" x14ac:dyDescent="0.3">
      <c r="A221" s="2" t="s">
        <v>267</v>
      </c>
      <c r="B221" s="2" t="s">
        <v>31</v>
      </c>
      <c r="C221" s="2" t="s">
        <v>17</v>
      </c>
      <c r="D221" s="2" t="s">
        <v>18</v>
      </c>
      <c r="E221" s="3">
        <v>28</v>
      </c>
      <c r="F221" s="3">
        <v>9.6</v>
      </c>
      <c r="G221" s="3">
        <v>116.1</v>
      </c>
      <c r="H221" s="3">
        <v>6.5</v>
      </c>
      <c r="I221" s="3">
        <v>2</v>
      </c>
      <c r="J221" s="3">
        <v>4</v>
      </c>
      <c r="K221" s="2" t="s">
        <v>19</v>
      </c>
      <c r="L221" s="2" t="s">
        <v>27</v>
      </c>
      <c r="M221" s="3">
        <v>0</v>
      </c>
      <c r="N221" s="2" t="s">
        <v>28</v>
      </c>
      <c r="O221" s="3">
        <v>72.5</v>
      </c>
    </row>
    <row r="222" spans="1:15" ht="14.4" x14ac:dyDescent="0.3">
      <c r="A222" s="2" t="s">
        <v>268</v>
      </c>
      <c r="B222" s="2" t="s">
        <v>31</v>
      </c>
      <c r="C222" s="2" t="s">
        <v>71</v>
      </c>
      <c r="D222" s="2" t="s">
        <v>26</v>
      </c>
      <c r="E222" s="3">
        <v>26</v>
      </c>
      <c r="F222" s="3">
        <v>11.6</v>
      </c>
      <c r="G222" s="3">
        <v>67.7</v>
      </c>
      <c r="H222" s="3">
        <v>6.2</v>
      </c>
      <c r="I222" s="3">
        <v>4</v>
      </c>
      <c r="J222" s="3">
        <v>5</v>
      </c>
      <c r="K222" s="2" t="s">
        <v>19</v>
      </c>
      <c r="L222" s="2" t="s">
        <v>54</v>
      </c>
      <c r="M222" s="3">
        <v>1</v>
      </c>
      <c r="N222" s="2" t="s">
        <v>21</v>
      </c>
      <c r="O222" s="3">
        <v>80</v>
      </c>
    </row>
    <row r="223" spans="1:15" ht="14.4" x14ac:dyDescent="0.3">
      <c r="A223" s="2" t="s">
        <v>269</v>
      </c>
      <c r="B223" s="2" t="s">
        <v>31</v>
      </c>
      <c r="C223" s="2" t="s">
        <v>48</v>
      </c>
      <c r="D223" s="2" t="s">
        <v>26</v>
      </c>
      <c r="E223" s="3">
        <v>21</v>
      </c>
      <c r="F223" s="3">
        <v>16.100000000000001</v>
      </c>
      <c r="G223" s="3">
        <v>92</v>
      </c>
      <c r="H223" s="2"/>
      <c r="I223" s="3">
        <v>1</v>
      </c>
      <c r="J223" s="3">
        <v>5</v>
      </c>
      <c r="K223" s="2" t="s">
        <v>19</v>
      </c>
      <c r="L223" s="2" t="s">
        <v>27</v>
      </c>
      <c r="M223" s="3">
        <v>1</v>
      </c>
      <c r="N223" s="2" t="s">
        <v>28</v>
      </c>
      <c r="O223" s="3">
        <v>70</v>
      </c>
    </row>
    <row r="224" spans="1:15" ht="14.4" x14ac:dyDescent="0.3">
      <c r="A224" s="2" t="s">
        <v>270</v>
      </c>
      <c r="B224" s="2" t="s">
        <v>16</v>
      </c>
      <c r="C224" s="2" t="s">
        <v>48</v>
      </c>
      <c r="D224" s="2" t="s">
        <v>26</v>
      </c>
      <c r="E224" s="3">
        <v>23</v>
      </c>
      <c r="F224" s="3">
        <v>15.1</v>
      </c>
      <c r="G224" s="3">
        <v>36.6</v>
      </c>
      <c r="H224" s="3">
        <v>6.8</v>
      </c>
      <c r="I224" s="3">
        <v>3</v>
      </c>
      <c r="J224" s="3">
        <v>4</v>
      </c>
      <c r="K224" s="2" t="s">
        <v>19</v>
      </c>
      <c r="L224" s="2" t="s">
        <v>54</v>
      </c>
      <c r="M224" s="3">
        <v>0</v>
      </c>
      <c r="N224" s="2" t="s">
        <v>21</v>
      </c>
      <c r="O224" s="3">
        <v>85.3</v>
      </c>
    </row>
    <row r="225" spans="1:15" ht="14.4" x14ac:dyDescent="0.3">
      <c r="A225" s="2" t="s">
        <v>271</v>
      </c>
      <c r="B225" s="2" t="s">
        <v>36</v>
      </c>
      <c r="C225" s="2" t="s">
        <v>71</v>
      </c>
      <c r="D225" s="2" t="s">
        <v>26</v>
      </c>
      <c r="E225" s="3">
        <v>20</v>
      </c>
      <c r="F225" s="3">
        <v>6.7</v>
      </c>
      <c r="G225" s="3">
        <v>44.8</v>
      </c>
      <c r="H225" s="3">
        <v>6.3</v>
      </c>
      <c r="I225" s="3">
        <v>1</v>
      </c>
      <c r="J225" s="3">
        <v>3</v>
      </c>
      <c r="K225" s="2" t="s">
        <v>19</v>
      </c>
      <c r="L225" s="2" t="s">
        <v>54</v>
      </c>
      <c r="M225" s="3">
        <v>2</v>
      </c>
      <c r="N225" s="2" t="s">
        <v>33</v>
      </c>
      <c r="O225" s="3">
        <v>67.2</v>
      </c>
    </row>
    <row r="226" spans="1:15" ht="14.4" x14ac:dyDescent="0.3">
      <c r="A226" s="2" t="s">
        <v>272</v>
      </c>
      <c r="B226" s="2" t="s">
        <v>31</v>
      </c>
      <c r="C226" s="2" t="s">
        <v>32</v>
      </c>
      <c r="D226" s="2" t="s">
        <v>26</v>
      </c>
      <c r="E226" s="3">
        <v>21</v>
      </c>
      <c r="F226" s="3">
        <v>21.2</v>
      </c>
      <c r="G226" s="3">
        <v>30.3</v>
      </c>
      <c r="H226" s="3">
        <v>7.2</v>
      </c>
      <c r="I226" s="3">
        <v>6</v>
      </c>
      <c r="J226" s="3">
        <v>5</v>
      </c>
      <c r="K226" s="2" t="s">
        <v>19</v>
      </c>
      <c r="L226" s="2" t="s">
        <v>37</v>
      </c>
      <c r="M226" s="3">
        <v>0</v>
      </c>
      <c r="N226" s="2" t="s">
        <v>33</v>
      </c>
      <c r="O226" s="3">
        <v>90</v>
      </c>
    </row>
    <row r="227" spans="1:15" ht="14.4" x14ac:dyDescent="0.3">
      <c r="A227" s="2" t="s">
        <v>273</v>
      </c>
      <c r="B227" s="2" t="s">
        <v>31</v>
      </c>
      <c r="C227" s="2" t="s">
        <v>48</v>
      </c>
      <c r="D227" s="2" t="s">
        <v>18</v>
      </c>
      <c r="E227" s="3">
        <v>26</v>
      </c>
      <c r="F227" s="3">
        <v>9.3000000000000007</v>
      </c>
      <c r="G227" s="3">
        <v>54.1</v>
      </c>
      <c r="H227" s="3">
        <v>7</v>
      </c>
      <c r="I227" s="3">
        <v>3</v>
      </c>
      <c r="J227" s="3">
        <v>3</v>
      </c>
      <c r="K227" s="2" t="s">
        <v>19</v>
      </c>
      <c r="L227" s="2" t="s">
        <v>54</v>
      </c>
      <c r="M227" s="3">
        <v>0</v>
      </c>
      <c r="N227" s="2" t="s">
        <v>28</v>
      </c>
      <c r="O227" s="2"/>
    </row>
    <row r="228" spans="1:15" ht="14.4" x14ac:dyDescent="0.3">
      <c r="A228" s="2" t="s">
        <v>274</v>
      </c>
      <c r="B228" s="2" t="s">
        <v>36</v>
      </c>
      <c r="C228" s="2" t="s">
        <v>32</v>
      </c>
      <c r="D228" s="2" t="s">
        <v>18</v>
      </c>
      <c r="E228" s="3">
        <v>23</v>
      </c>
      <c r="F228" s="2"/>
      <c r="G228" s="3">
        <v>9.4</v>
      </c>
      <c r="H228" s="3">
        <v>5.9</v>
      </c>
      <c r="I228" s="3">
        <v>0</v>
      </c>
      <c r="J228" s="3">
        <v>4</v>
      </c>
      <c r="K228" s="2" t="s">
        <v>19</v>
      </c>
      <c r="L228" s="2" t="s">
        <v>54</v>
      </c>
      <c r="M228" s="3">
        <v>0</v>
      </c>
      <c r="N228" s="2" t="s">
        <v>33</v>
      </c>
      <c r="O228" s="3">
        <v>78.599999999999994</v>
      </c>
    </row>
    <row r="229" spans="1:15" ht="14.4" x14ac:dyDescent="0.3">
      <c r="A229" s="2" t="s">
        <v>275</v>
      </c>
      <c r="B229" s="2" t="s">
        <v>36</v>
      </c>
      <c r="C229" s="2" t="s">
        <v>32</v>
      </c>
      <c r="D229" s="2" t="s">
        <v>26</v>
      </c>
      <c r="E229" s="3">
        <v>25</v>
      </c>
      <c r="F229" s="3">
        <v>17.899999999999999</v>
      </c>
      <c r="G229" s="3">
        <v>12.2</v>
      </c>
      <c r="H229" s="3">
        <v>6.3</v>
      </c>
      <c r="I229" s="3">
        <v>3</v>
      </c>
      <c r="J229" s="3">
        <v>4</v>
      </c>
      <c r="K229" s="2" t="s">
        <v>19</v>
      </c>
      <c r="L229" s="2" t="s">
        <v>27</v>
      </c>
      <c r="M229" s="3">
        <v>0</v>
      </c>
      <c r="N229" s="2" t="s">
        <v>21</v>
      </c>
      <c r="O229" s="3">
        <v>84.2</v>
      </c>
    </row>
    <row r="230" spans="1:15" ht="14.4" x14ac:dyDescent="0.3">
      <c r="A230" s="2" t="s">
        <v>276</v>
      </c>
      <c r="B230" s="2" t="s">
        <v>24</v>
      </c>
      <c r="C230" s="2" t="s">
        <v>17</v>
      </c>
      <c r="D230" s="2" t="s">
        <v>18</v>
      </c>
      <c r="E230" s="3">
        <v>29</v>
      </c>
      <c r="F230" s="3">
        <v>14.8</v>
      </c>
      <c r="G230" s="3">
        <v>27.2</v>
      </c>
      <c r="H230" s="3">
        <v>6</v>
      </c>
      <c r="I230" s="3">
        <v>1</v>
      </c>
      <c r="J230" s="3">
        <v>4</v>
      </c>
      <c r="K230" s="2" t="s">
        <v>19</v>
      </c>
      <c r="L230" s="2" t="s">
        <v>20</v>
      </c>
      <c r="M230" s="3">
        <v>1</v>
      </c>
      <c r="N230" s="2" t="s">
        <v>60</v>
      </c>
      <c r="O230" s="3">
        <v>75.2</v>
      </c>
    </row>
    <row r="231" spans="1:15" ht="14.4" x14ac:dyDescent="0.3">
      <c r="A231" s="2" t="s">
        <v>277</v>
      </c>
      <c r="B231" s="2" t="s">
        <v>24</v>
      </c>
      <c r="C231" s="2" t="s">
        <v>17</v>
      </c>
      <c r="D231" s="2" t="s">
        <v>26</v>
      </c>
      <c r="E231" s="3">
        <v>22</v>
      </c>
      <c r="F231" s="3">
        <v>16.600000000000001</v>
      </c>
      <c r="G231" s="3">
        <v>59.1</v>
      </c>
      <c r="H231" s="3">
        <v>7.5</v>
      </c>
      <c r="I231" s="3">
        <v>2</v>
      </c>
      <c r="J231" s="3">
        <v>3</v>
      </c>
      <c r="K231" s="2" t="s">
        <v>19</v>
      </c>
      <c r="L231" s="2" t="s">
        <v>27</v>
      </c>
      <c r="M231" s="3">
        <v>0</v>
      </c>
      <c r="N231" s="2" t="s">
        <v>38</v>
      </c>
      <c r="O231" s="3">
        <v>66.8</v>
      </c>
    </row>
    <row r="232" spans="1:15" ht="14.4" x14ac:dyDescent="0.3">
      <c r="A232" s="2" t="s">
        <v>278</v>
      </c>
      <c r="B232" s="2" t="s">
        <v>24</v>
      </c>
      <c r="C232" s="2" t="s">
        <v>17</v>
      </c>
      <c r="D232" s="2" t="s">
        <v>18</v>
      </c>
      <c r="E232" s="3">
        <v>20</v>
      </c>
      <c r="F232" s="2"/>
      <c r="G232" s="3">
        <v>15.7</v>
      </c>
      <c r="H232" s="3">
        <v>6.1</v>
      </c>
      <c r="I232" s="3">
        <v>2</v>
      </c>
      <c r="J232" s="3">
        <v>5</v>
      </c>
      <c r="K232" s="2" t="s">
        <v>19</v>
      </c>
      <c r="L232" s="2" t="s">
        <v>20</v>
      </c>
      <c r="M232" s="3">
        <v>0</v>
      </c>
      <c r="N232" s="2" t="s">
        <v>33</v>
      </c>
      <c r="O232" s="3">
        <v>55.6</v>
      </c>
    </row>
    <row r="233" spans="1:15" ht="14.4" x14ac:dyDescent="0.3">
      <c r="A233" s="2" t="s">
        <v>279</v>
      </c>
      <c r="B233" s="2" t="s">
        <v>31</v>
      </c>
      <c r="C233" s="2" t="s">
        <v>17</v>
      </c>
      <c r="D233" s="2" t="s">
        <v>18</v>
      </c>
      <c r="E233" s="3">
        <v>30</v>
      </c>
      <c r="F233" s="3">
        <v>20</v>
      </c>
      <c r="G233" s="3">
        <v>62.8</v>
      </c>
      <c r="H233" s="3">
        <v>5.3</v>
      </c>
      <c r="I233" s="3">
        <v>2</v>
      </c>
      <c r="J233" s="3">
        <v>3</v>
      </c>
      <c r="K233" s="2" t="s">
        <v>44</v>
      </c>
      <c r="L233" s="2" t="s">
        <v>54</v>
      </c>
      <c r="M233" s="3">
        <v>1</v>
      </c>
      <c r="N233" s="2" t="s">
        <v>21</v>
      </c>
      <c r="O233" s="3">
        <v>72.599999999999994</v>
      </c>
    </row>
    <row r="234" spans="1:15" ht="14.4" x14ac:dyDescent="0.3">
      <c r="A234" s="2" t="s">
        <v>280</v>
      </c>
      <c r="B234" s="2" t="s">
        <v>31</v>
      </c>
      <c r="C234" s="2" t="s">
        <v>25</v>
      </c>
      <c r="D234" s="2" t="s">
        <v>26</v>
      </c>
      <c r="E234" s="3">
        <v>24</v>
      </c>
      <c r="F234" s="3">
        <v>20.9</v>
      </c>
      <c r="G234" s="3">
        <v>55.7</v>
      </c>
      <c r="H234" s="3">
        <v>8.1</v>
      </c>
      <c r="I234" s="3">
        <v>3</v>
      </c>
      <c r="J234" s="3">
        <v>5</v>
      </c>
      <c r="K234" s="2" t="s">
        <v>19</v>
      </c>
      <c r="L234" s="2" t="s">
        <v>27</v>
      </c>
      <c r="M234" s="3">
        <v>0</v>
      </c>
      <c r="N234" s="2" t="s">
        <v>33</v>
      </c>
      <c r="O234" s="3">
        <v>82.5</v>
      </c>
    </row>
    <row r="235" spans="1:15" ht="14.4" x14ac:dyDescent="0.3">
      <c r="A235" s="2" t="s">
        <v>281</v>
      </c>
      <c r="B235" s="2" t="s">
        <v>31</v>
      </c>
      <c r="C235" s="2" t="s">
        <v>71</v>
      </c>
      <c r="D235" s="2" t="s">
        <v>18</v>
      </c>
      <c r="E235" s="3">
        <v>25</v>
      </c>
      <c r="F235" s="3">
        <v>16.7</v>
      </c>
      <c r="G235" s="3">
        <v>126.7</v>
      </c>
      <c r="H235" s="3">
        <v>8.3000000000000007</v>
      </c>
      <c r="I235" s="3">
        <v>2</v>
      </c>
      <c r="J235" s="3">
        <v>4</v>
      </c>
      <c r="K235" s="2" t="s">
        <v>44</v>
      </c>
      <c r="L235" s="2" t="s">
        <v>27</v>
      </c>
      <c r="M235" s="3">
        <v>2</v>
      </c>
      <c r="N235" s="2" t="s">
        <v>33</v>
      </c>
      <c r="O235" s="3">
        <v>69.2</v>
      </c>
    </row>
    <row r="236" spans="1:15" ht="14.4" x14ac:dyDescent="0.3">
      <c r="A236" s="2" t="s">
        <v>282</v>
      </c>
      <c r="B236" s="2" t="s">
        <v>24</v>
      </c>
      <c r="C236" s="2" t="s">
        <v>17</v>
      </c>
      <c r="D236" s="2" t="s">
        <v>18</v>
      </c>
      <c r="E236" s="3">
        <v>23</v>
      </c>
      <c r="F236" s="3">
        <v>20</v>
      </c>
      <c r="G236" s="3">
        <v>26.2</v>
      </c>
      <c r="H236" s="3">
        <v>5.4</v>
      </c>
      <c r="I236" s="3">
        <v>4</v>
      </c>
      <c r="J236" s="3">
        <v>4</v>
      </c>
      <c r="K236" s="2" t="s">
        <v>19</v>
      </c>
      <c r="L236" s="2" t="s">
        <v>27</v>
      </c>
      <c r="M236" s="3">
        <v>0</v>
      </c>
      <c r="N236" s="2" t="s">
        <v>60</v>
      </c>
      <c r="O236" s="3">
        <v>97.4</v>
      </c>
    </row>
    <row r="237" spans="1:15" ht="14.4" x14ac:dyDescent="0.3">
      <c r="A237" s="2" t="s">
        <v>283</v>
      </c>
      <c r="B237" s="2" t="s">
        <v>47</v>
      </c>
      <c r="C237" s="2" t="s">
        <v>32</v>
      </c>
      <c r="D237" s="2" t="s">
        <v>26</v>
      </c>
      <c r="E237" s="3">
        <v>23</v>
      </c>
      <c r="F237" s="2"/>
      <c r="G237" s="3">
        <v>39.299999999999997</v>
      </c>
      <c r="H237" s="3">
        <v>7.6</v>
      </c>
      <c r="I237" s="3">
        <v>3</v>
      </c>
      <c r="J237" s="3">
        <v>4</v>
      </c>
      <c r="K237" s="2" t="s">
        <v>44</v>
      </c>
      <c r="L237" s="2" t="s">
        <v>54</v>
      </c>
      <c r="M237" s="3">
        <v>1</v>
      </c>
      <c r="N237" s="2" t="s">
        <v>33</v>
      </c>
      <c r="O237" s="3">
        <v>74.8</v>
      </c>
    </row>
    <row r="238" spans="1:15" ht="14.4" x14ac:dyDescent="0.3">
      <c r="A238" s="2" t="s">
        <v>284</v>
      </c>
      <c r="B238" s="2" t="s">
        <v>31</v>
      </c>
      <c r="C238" s="2" t="s">
        <v>48</v>
      </c>
      <c r="D238" s="2" t="s">
        <v>26</v>
      </c>
      <c r="E238" s="3">
        <v>25</v>
      </c>
      <c r="F238" s="3">
        <v>9.1</v>
      </c>
      <c r="G238" s="3">
        <v>38.9</v>
      </c>
      <c r="H238" s="3">
        <v>6.6</v>
      </c>
      <c r="I238" s="3">
        <v>1</v>
      </c>
      <c r="J238" s="3">
        <v>2</v>
      </c>
      <c r="K238" s="2" t="s">
        <v>19</v>
      </c>
      <c r="L238" s="2" t="s">
        <v>20</v>
      </c>
      <c r="M238" s="3">
        <v>2</v>
      </c>
      <c r="N238" s="2" t="s">
        <v>60</v>
      </c>
      <c r="O238" s="3">
        <v>74.3</v>
      </c>
    </row>
    <row r="239" spans="1:15" ht="14.4" x14ac:dyDescent="0.3">
      <c r="A239" s="2" t="s">
        <v>285</v>
      </c>
      <c r="B239" s="2" t="s">
        <v>16</v>
      </c>
      <c r="C239" s="2" t="s">
        <v>17</v>
      </c>
      <c r="D239" s="2" t="s">
        <v>26</v>
      </c>
      <c r="E239" s="3">
        <v>22</v>
      </c>
      <c r="F239" s="3">
        <v>5.2</v>
      </c>
      <c r="G239" s="3">
        <v>6.2</v>
      </c>
      <c r="H239" s="3">
        <v>7.6</v>
      </c>
      <c r="I239" s="3">
        <v>3</v>
      </c>
      <c r="J239" s="2"/>
      <c r="K239" s="2" t="s">
        <v>44</v>
      </c>
      <c r="L239" s="2" t="s">
        <v>59</v>
      </c>
      <c r="M239" s="3">
        <v>0</v>
      </c>
      <c r="N239" s="2" t="s">
        <v>38</v>
      </c>
      <c r="O239" s="3">
        <v>54.9</v>
      </c>
    </row>
    <row r="240" spans="1:15" ht="14.4" x14ac:dyDescent="0.3">
      <c r="A240" s="2" t="s">
        <v>286</v>
      </c>
      <c r="B240" s="2" t="s">
        <v>24</v>
      </c>
      <c r="C240" s="2" t="s">
        <v>32</v>
      </c>
      <c r="D240" s="2" t="s">
        <v>26</v>
      </c>
      <c r="E240" s="3">
        <v>24</v>
      </c>
      <c r="F240" s="3">
        <v>16.100000000000001</v>
      </c>
      <c r="G240" s="3">
        <v>57.8</v>
      </c>
      <c r="H240" s="3">
        <v>5.4</v>
      </c>
      <c r="I240" s="3">
        <v>0</v>
      </c>
      <c r="J240" s="3">
        <v>3</v>
      </c>
      <c r="K240" s="2" t="s">
        <v>44</v>
      </c>
      <c r="L240" s="2" t="s">
        <v>59</v>
      </c>
      <c r="M240" s="3">
        <v>1</v>
      </c>
      <c r="N240" s="2" t="s">
        <v>33</v>
      </c>
      <c r="O240" s="3">
        <v>72.2</v>
      </c>
    </row>
    <row r="241" spans="1:15" ht="14.4" x14ac:dyDescent="0.3">
      <c r="A241" s="2" t="s">
        <v>287</v>
      </c>
      <c r="B241" s="2" t="s">
        <v>31</v>
      </c>
      <c r="C241" s="2" t="s">
        <v>32</v>
      </c>
      <c r="D241" s="2" t="s">
        <v>26</v>
      </c>
      <c r="E241" s="3">
        <v>21</v>
      </c>
      <c r="F241" s="3">
        <v>20.100000000000001</v>
      </c>
      <c r="G241" s="3">
        <v>65.5</v>
      </c>
      <c r="H241" s="3">
        <v>6.8</v>
      </c>
      <c r="I241" s="3">
        <v>2</v>
      </c>
      <c r="J241" s="3">
        <v>4</v>
      </c>
      <c r="K241" s="2" t="s">
        <v>19</v>
      </c>
      <c r="L241" s="2" t="s">
        <v>59</v>
      </c>
      <c r="M241" s="3">
        <v>0</v>
      </c>
      <c r="N241" s="2" t="s">
        <v>21</v>
      </c>
      <c r="O241" s="3">
        <v>92.7</v>
      </c>
    </row>
    <row r="242" spans="1:15" ht="14.4" x14ac:dyDescent="0.3">
      <c r="A242" s="2" t="s">
        <v>288</v>
      </c>
      <c r="B242" s="2" t="s">
        <v>47</v>
      </c>
      <c r="C242" s="2" t="s">
        <v>17</v>
      </c>
      <c r="D242" s="2" t="s">
        <v>26</v>
      </c>
      <c r="E242" s="2"/>
      <c r="F242" s="3">
        <v>10.199999999999999</v>
      </c>
      <c r="G242" s="3">
        <v>23.1</v>
      </c>
      <c r="H242" s="2"/>
      <c r="I242" s="3">
        <v>2</v>
      </c>
      <c r="J242" s="3">
        <v>4</v>
      </c>
      <c r="K242" s="2" t="s">
        <v>19</v>
      </c>
      <c r="L242" s="2" t="s">
        <v>37</v>
      </c>
      <c r="M242" s="3">
        <v>0</v>
      </c>
      <c r="N242" s="2" t="s">
        <v>33</v>
      </c>
      <c r="O242" s="3">
        <v>74.599999999999994</v>
      </c>
    </row>
    <row r="243" spans="1:15" ht="14.4" x14ac:dyDescent="0.3">
      <c r="A243" s="2" t="s">
        <v>289</v>
      </c>
      <c r="B243" s="2" t="s">
        <v>16</v>
      </c>
      <c r="C243" s="2" t="s">
        <v>25</v>
      </c>
      <c r="D243" s="2" t="s">
        <v>18</v>
      </c>
      <c r="E243" s="3">
        <v>24</v>
      </c>
      <c r="F243" s="3">
        <v>19.7</v>
      </c>
      <c r="G243" s="3">
        <v>37.6</v>
      </c>
      <c r="H243" s="3">
        <v>6.4</v>
      </c>
      <c r="I243" s="3">
        <v>0</v>
      </c>
      <c r="J243" s="3">
        <v>4</v>
      </c>
      <c r="K243" s="2" t="s">
        <v>19</v>
      </c>
      <c r="L243" s="2" t="s">
        <v>20</v>
      </c>
      <c r="M243" s="3">
        <v>0</v>
      </c>
      <c r="N243" s="2" t="s">
        <v>38</v>
      </c>
      <c r="O243" s="3">
        <v>85.9</v>
      </c>
    </row>
    <row r="244" spans="1:15" ht="14.4" x14ac:dyDescent="0.3">
      <c r="A244" s="2" t="s">
        <v>290</v>
      </c>
      <c r="B244" s="2" t="s">
        <v>31</v>
      </c>
      <c r="C244" s="2" t="s">
        <v>32</v>
      </c>
      <c r="D244" s="2" t="s">
        <v>18</v>
      </c>
      <c r="E244" s="3">
        <v>22</v>
      </c>
      <c r="F244" s="2"/>
      <c r="G244" s="3">
        <v>37.200000000000003</v>
      </c>
      <c r="H244" s="3">
        <v>7.6</v>
      </c>
      <c r="I244" s="3">
        <v>1</v>
      </c>
      <c r="J244" s="3">
        <v>5</v>
      </c>
      <c r="K244" s="2" t="s">
        <v>19</v>
      </c>
      <c r="L244" s="2" t="s">
        <v>27</v>
      </c>
      <c r="M244" s="3">
        <v>0</v>
      </c>
      <c r="N244" s="2" t="s">
        <v>33</v>
      </c>
      <c r="O244" s="3">
        <v>88.3</v>
      </c>
    </row>
    <row r="245" spans="1:15" ht="14.4" x14ac:dyDescent="0.3">
      <c r="A245" s="2" t="s">
        <v>291</v>
      </c>
      <c r="B245" s="2" t="s">
        <v>36</v>
      </c>
      <c r="C245" s="2" t="s">
        <v>32</v>
      </c>
      <c r="D245" s="2" t="s">
        <v>26</v>
      </c>
      <c r="E245" s="3">
        <v>23</v>
      </c>
      <c r="F245" s="3">
        <v>16.7</v>
      </c>
      <c r="G245" s="3">
        <v>31.3</v>
      </c>
      <c r="H245" s="3">
        <v>7.1</v>
      </c>
      <c r="I245" s="3">
        <v>3</v>
      </c>
      <c r="J245" s="3">
        <v>4</v>
      </c>
      <c r="K245" s="2" t="s">
        <v>19</v>
      </c>
      <c r="L245" s="2" t="s">
        <v>27</v>
      </c>
      <c r="M245" s="3">
        <v>0</v>
      </c>
      <c r="N245" s="2" t="s">
        <v>28</v>
      </c>
      <c r="O245" s="3">
        <v>69.8</v>
      </c>
    </row>
    <row r="246" spans="1:15" ht="14.4" x14ac:dyDescent="0.3">
      <c r="A246" s="2" t="s">
        <v>292</v>
      </c>
      <c r="B246" s="2" t="s">
        <v>31</v>
      </c>
      <c r="C246" s="2" t="s">
        <v>17</v>
      </c>
      <c r="D246" s="2" t="s">
        <v>18</v>
      </c>
      <c r="E246" s="3">
        <v>20</v>
      </c>
      <c r="F246" s="3">
        <v>22.6</v>
      </c>
      <c r="G246" s="3">
        <v>97.9</v>
      </c>
      <c r="H246" s="3">
        <v>6.7</v>
      </c>
      <c r="I246" s="3">
        <v>1</v>
      </c>
      <c r="J246" s="3">
        <v>4</v>
      </c>
      <c r="K246" s="2" t="s">
        <v>19</v>
      </c>
      <c r="L246" s="2" t="s">
        <v>59</v>
      </c>
      <c r="M246" s="3">
        <v>0</v>
      </c>
      <c r="N246" s="2" t="s">
        <v>33</v>
      </c>
      <c r="O246" s="3">
        <v>80.7</v>
      </c>
    </row>
    <row r="247" spans="1:15" ht="14.4" x14ac:dyDescent="0.3">
      <c r="A247" s="2" t="s">
        <v>293</v>
      </c>
      <c r="B247" s="2" t="s">
        <v>31</v>
      </c>
      <c r="C247" s="2" t="s">
        <v>32</v>
      </c>
      <c r="D247" s="2" t="s">
        <v>26</v>
      </c>
      <c r="E247" s="3">
        <v>24</v>
      </c>
      <c r="F247" s="3">
        <v>18.8</v>
      </c>
      <c r="G247" s="3">
        <v>26.4</v>
      </c>
      <c r="H247" s="2"/>
      <c r="I247" s="3">
        <v>1</v>
      </c>
      <c r="J247" s="3">
        <v>3</v>
      </c>
      <c r="K247" s="2" t="s">
        <v>19</v>
      </c>
      <c r="L247" s="2" t="s">
        <v>27</v>
      </c>
      <c r="M247" s="2"/>
      <c r="N247" s="2" t="s">
        <v>33</v>
      </c>
      <c r="O247" s="3">
        <v>75.2</v>
      </c>
    </row>
    <row r="248" spans="1:15" ht="14.4" x14ac:dyDescent="0.3">
      <c r="A248" s="2" t="s">
        <v>294</v>
      </c>
      <c r="B248" s="2" t="s">
        <v>36</v>
      </c>
      <c r="C248" s="2" t="s">
        <v>32</v>
      </c>
      <c r="D248" s="2" t="s">
        <v>26</v>
      </c>
      <c r="E248" s="3">
        <v>25</v>
      </c>
      <c r="F248" s="3">
        <v>15.1</v>
      </c>
      <c r="G248" s="3">
        <v>48</v>
      </c>
      <c r="H248" s="2"/>
      <c r="I248" s="3">
        <v>1</v>
      </c>
      <c r="J248" s="3">
        <v>4</v>
      </c>
      <c r="K248" s="2" t="s">
        <v>44</v>
      </c>
      <c r="L248" s="2" t="s">
        <v>54</v>
      </c>
      <c r="M248" s="3">
        <v>1</v>
      </c>
      <c r="N248" s="2" t="s">
        <v>33</v>
      </c>
      <c r="O248" s="3">
        <v>86.7</v>
      </c>
    </row>
    <row r="249" spans="1:15" ht="14.4" x14ac:dyDescent="0.3">
      <c r="A249" s="2" t="s">
        <v>295</v>
      </c>
      <c r="B249" s="2" t="s">
        <v>31</v>
      </c>
      <c r="C249" s="2" t="s">
        <v>71</v>
      </c>
      <c r="D249" s="2" t="s">
        <v>26</v>
      </c>
      <c r="E249" s="3">
        <v>22</v>
      </c>
      <c r="F249" s="3">
        <v>20.2</v>
      </c>
      <c r="G249" s="3">
        <v>64.099999999999994</v>
      </c>
      <c r="H249" s="3">
        <v>6.7</v>
      </c>
      <c r="I249" s="3">
        <v>5</v>
      </c>
      <c r="J249" s="3">
        <v>4</v>
      </c>
      <c r="K249" s="2" t="s">
        <v>19</v>
      </c>
      <c r="L249" s="2" t="s">
        <v>54</v>
      </c>
      <c r="M249" s="3">
        <v>0</v>
      </c>
      <c r="N249" s="2" t="s">
        <v>28</v>
      </c>
      <c r="O249" s="3">
        <v>74.900000000000006</v>
      </c>
    </row>
    <row r="250" spans="1:15" ht="14.4" x14ac:dyDescent="0.3">
      <c r="A250" s="2" t="s">
        <v>296</v>
      </c>
      <c r="B250" s="2" t="s">
        <v>24</v>
      </c>
      <c r="C250" s="2" t="s">
        <v>32</v>
      </c>
      <c r="D250" s="2" t="s">
        <v>26</v>
      </c>
      <c r="E250" s="3">
        <v>22</v>
      </c>
      <c r="F250" s="3">
        <v>18.7</v>
      </c>
      <c r="G250" s="3">
        <v>15</v>
      </c>
      <c r="H250" s="3">
        <v>7.3</v>
      </c>
      <c r="I250" s="3">
        <v>4</v>
      </c>
      <c r="J250" s="3">
        <v>4</v>
      </c>
      <c r="K250" s="2" t="s">
        <v>44</v>
      </c>
      <c r="L250" s="2" t="s">
        <v>59</v>
      </c>
      <c r="M250" s="3">
        <v>0</v>
      </c>
      <c r="N250" s="2" t="s">
        <v>38</v>
      </c>
      <c r="O250" s="3">
        <v>84.9</v>
      </c>
    </row>
    <row r="251" spans="1:15" ht="14.4" x14ac:dyDescent="0.3">
      <c r="A251" s="2" t="s">
        <v>297</v>
      </c>
      <c r="B251" s="2" t="s">
        <v>36</v>
      </c>
      <c r="C251" s="2" t="s">
        <v>17</v>
      </c>
      <c r="D251" s="2" t="s">
        <v>26</v>
      </c>
      <c r="E251" s="3">
        <v>27</v>
      </c>
      <c r="F251" s="3">
        <v>15.2</v>
      </c>
      <c r="G251" s="3">
        <v>13.1</v>
      </c>
      <c r="H251" s="2"/>
      <c r="I251" s="3">
        <v>5</v>
      </c>
      <c r="J251" s="3">
        <v>5</v>
      </c>
      <c r="K251" s="2" t="s">
        <v>19</v>
      </c>
      <c r="L251" s="2" t="s">
        <v>54</v>
      </c>
      <c r="M251" s="3">
        <v>2</v>
      </c>
      <c r="N251" s="2" t="s">
        <v>38</v>
      </c>
      <c r="O251" s="3">
        <v>86.3</v>
      </c>
    </row>
    <row r="252" spans="1:15" ht="14.4" x14ac:dyDescent="0.3">
      <c r="A252" s="2" t="s">
        <v>298</v>
      </c>
      <c r="B252" s="2" t="s">
        <v>24</v>
      </c>
      <c r="C252" s="2" t="s">
        <v>48</v>
      </c>
      <c r="D252" s="2" t="s">
        <v>26</v>
      </c>
      <c r="E252" s="3">
        <v>22</v>
      </c>
      <c r="F252" s="3">
        <v>14.9</v>
      </c>
      <c r="G252" s="3">
        <v>16.399999999999999</v>
      </c>
      <c r="H252" s="3">
        <v>7.9</v>
      </c>
      <c r="I252" s="3">
        <v>2</v>
      </c>
      <c r="J252" s="3">
        <v>2</v>
      </c>
      <c r="K252" s="2" t="s">
        <v>19</v>
      </c>
      <c r="L252" s="2" t="s">
        <v>54</v>
      </c>
      <c r="M252" s="3">
        <v>2</v>
      </c>
      <c r="N252" s="2" t="s">
        <v>38</v>
      </c>
      <c r="O252" s="3">
        <v>75.8</v>
      </c>
    </row>
    <row r="253" spans="1:15" ht="14.4" x14ac:dyDescent="0.3">
      <c r="A253" s="2" t="s">
        <v>299</v>
      </c>
      <c r="B253" s="2" t="s">
        <v>47</v>
      </c>
      <c r="C253" s="2" t="s">
        <v>48</v>
      </c>
      <c r="D253" s="2" t="s">
        <v>26</v>
      </c>
      <c r="E253" s="3">
        <v>25</v>
      </c>
      <c r="F253" s="3">
        <v>13.4</v>
      </c>
      <c r="G253" s="3">
        <v>30.7</v>
      </c>
      <c r="H253" s="3">
        <v>6.1</v>
      </c>
      <c r="I253" s="3">
        <v>7</v>
      </c>
      <c r="J253" s="3">
        <v>4</v>
      </c>
      <c r="K253" s="2" t="s">
        <v>19</v>
      </c>
      <c r="L253" s="2" t="s">
        <v>54</v>
      </c>
      <c r="M253" s="3">
        <v>2</v>
      </c>
      <c r="N253" s="2" t="s">
        <v>21</v>
      </c>
      <c r="O253" s="3">
        <v>63.9</v>
      </c>
    </row>
    <row r="254" spans="1:15" ht="14.4" x14ac:dyDescent="0.3">
      <c r="A254" s="2" t="s">
        <v>300</v>
      </c>
      <c r="B254" s="2" t="s">
        <v>31</v>
      </c>
      <c r="C254" s="2" t="s">
        <v>48</v>
      </c>
      <c r="D254" s="2" t="s">
        <v>18</v>
      </c>
      <c r="E254" s="3">
        <v>22</v>
      </c>
      <c r="F254" s="3">
        <v>17.899999999999999</v>
      </c>
      <c r="G254" s="3">
        <v>87.2</v>
      </c>
      <c r="H254" s="3">
        <v>6.7</v>
      </c>
      <c r="I254" s="3">
        <v>6</v>
      </c>
      <c r="J254" s="3">
        <v>3</v>
      </c>
      <c r="K254" s="2" t="s">
        <v>19</v>
      </c>
      <c r="L254" s="2" t="s">
        <v>59</v>
      </c>
      <c r="M254" s="3">
        <v>0</v>
      </c>
      <c r="N254" s="2" t="s">
        <v>28</v>
      </c>
      <c r="O254" s="3">
        <v>92.7</v>
      </c>
    </row>
    <row r="255" spans="1:15" ht="14.4" x14ac:dyDescent="0.3">
      <c r="A255" s="2" t="s">
        <v>301</v>
      </c>
      <c r="B255" s="2" t="s">
        <v>31</v>
      </c>
      <c r="C255" s="2" t="s">
        <v>71</v>
      </c>
      <c r="D255" s="2" t="s">
        <v>18</v>
      </c>
      <c r="E255" s="3">
        <v>28</v>
      </c>
      <c r="F255" s="3">
        <v>9.8000000000000007</v>
      </c>
      <c r="G255" s="3">
        <v>27.2</v>
      </c>
      <c r="H255" s="3">
        <v>7.8</v>
      </c>
      <c r="I255" s="3">
        <v>2</v>
      </c>
      <c r="J255" s="3">
        <v>2</v>
      </c>
      <c r="K255" s="2" t="s">
        <v>19</v>
      </c>
      <c r="L255" s="2" t="s">
        <v>59</v>
      </c>
      <c r="M255" s="3">
        <v>0</v>
      </c>
      <c r="N255" s="2" t="s">
        <v>28</v>
      </c>
      <c r="O255" s="3">
        <v>71</v>
      </c>
    </row>
    <row r="256" spans="1:15" ht="14.4" x14ac:dyDescent="0.3">
      <c r="A256" s="2" t="s">
        <v>302</v>
      </c>
      <c r="B256" s="2" t="s">
        <v>16</v>
      </c>
      <c r="C256" s="2" t="s">
        <v>48</v>
      </c>
      <c r="D256" s="2" t="s">
        <v>18</v>
      </c>
      <c r="E256" s="3">
        <v>24</v>
      </c>
      <c r="F256" s="3">
        <v>16.8</v>
      </c>
      <c r="G256" s="3">
        <v>41.4</v>
      </c>
      <c r="H256" s="3">
        <v>8.6</v>
      </c>
      <c r="I256" s="3">
        <v>2</v>
      </c>
      <c r="J256" s="3">
        <v>3</v>
      </c>
      <c r="K256" s="2" t="s">
        <v>19</v>
      </c>
      <c r="L256" s="2" t="s">
        <v>20</v>
      </c>
      <c r="M256" s="3">
        <v>0</v>
      </c>
      <c r="N256" s="2" t="s">
        <v>33</v>
      </c>
      <c r="O256" s="3">
        <v>82.6</v>
      </c>
    </row>
    <row r="257" spans="1:15" ht="14.4" x14ac:dyDescent="0.3">
      <c r="A257" s="2" t="s">
        <v>303</v>
      </c>
      <c r="B257" s="2" t="s">
        <v>31</v>
      </c>
      <c r="C257" s="2" t="s">
        <v>32</v>
      </c>
      <c r="D257" s="2" t="s">
        <v>26</v>
      </c>
      <c r="E257" s="3">
        <v>25</v>
      </c>
      <c r="F257" s="3">
        <v>13.4</v>
      </c>
      <c r="G257" s="3">
        <v>79.3</v>
      </c>
      <c r="H257" s="3">
        <v>6.3</v>
      </c>
      <c r="I257" s="3">
        <v>3</v>
      </c>
      <c r="J257" s="3">
        <v>4</v>
      </c>
      <c r="K257" s="2" t="s">
        <v>19</v>
      </c>
      <c r="L257" s="2" t="s">
        <v>54</v>
      </c>
      <c r="M257" s="3">
        <v>1</v>
      </c>
      <c r="N257" s="2" t="s">
        <v>60</v>
      </c>
      <c r="O257" s="3">
        <v>77.8</v>
      </c>
    </row>
    <row r="258" spans="1:15" ht="14.4" x14ac:dyDescent="0.3">
      <c r="A258" s="2" t="s">
        <v>304</v>
      </c>
      <c r="B258" s="2" t="s">
        <v>16</v>
      </c>
      <c r="C258" s="2" t="s">
        <v>48</v>
      </c>
      <c r="D258" s="2" t="s">
        <v>26</v>
      </c>
      <c r="E258" s="3">
        <v>25</v>
      </c>
      <c r="F258" s="3">
        <v>18.5</v>
      </c>
      <c r="G258" s="3">
        <v>26.9</v>
      </c>
      <c r="H258" s="3">
        <v>6.8</v>
      </c>
      <c r="I258" s="3">
        <v>2</v>
      </c>
      <c r="J258" s="3">
        <v>4</v>
      </c>
      <c r="K258" s="2" t="s">
        <v>44</v>
      </c>
      <c r="L258" s="2" t="s">
        <v>54</v>
      </c>
      <c r="M258" s="3">
        <v>1</v>
      </c>
      <c r="N258" s="2" t="s">
        <v>33</v>
      </c>
      <c r="O258" s="3">
        <v>86.8</v>
      </c>
    </row>
    <row r="259" spans="1:15" ht="14.4" x14ac:dyDescent="0.3">
      <c r="A259" s="2" t="s">
        <v>305</v>
      </c>
      <c r="B259" s="2" t="s">
        <v>31</v>
      </c>
      <c r="C259" s="2" t="s">
        <v>17</v>
      </c>
      <c r="D259" s="2" t="s">
        <v>26</v>
      </c>
      <c r="E259" s="3">
        <v>25</v>
      </c>
      <c r="F259" s="3">
        <v>19.2</v>
      </c>
      <c r="G259" s="3">
        <v>39.299999999999997</v>
      </c>
      <c r="H259" s="3">
        <v>6.8</v>
      </c>
      <c r="I259" s="3">
        <v>3</v>
      </c>
      <c r="J259" s="3">
        <v>3</v>
      </c>
      <c r="K259" s="2" t="s">
        <v>19</v>
      </c>
      <c r="L259" s="2" t="s">
        <v>27</v>
      </c>
      <c r="M259" s="3">
        <v>4</v>
      </c>
      <c r="N259" s="2" t="s">
        <v>33</v>
      </c>
      <c r="O259" s="3">
        <v>85.6</v>
      </c>
    </row>
    <row r="260" spans="1:15" ht="14.4" x14ac:dyDescent="0.3">
      <c r="A260" s="2" t="s">
        <v>306</v>
      </c>
      <c r="B260" s="2" t="s">
        <v>31</v>
      </c>
      <c r="C260" s="2" t="s">
        <v>17</v>
      </c>
      <c r="D260" s="2" t="s">
        <v>18</v>
      </c>
      <c r="E260" s="3">
        <v>21</v>
      </c>
      <c r="F260" s="3">
        <v>20.7</v>
      </c>
      <c r="G260" s="3">
        <v>36.299999999999997</v>
      </c>
      <c r="H260" s="3">
        <v>4.5</v>
      </c>
      <c r="I260" s="3">
        <v>4</v>
      </c>
      <c r="J260" s="3">
        <v>4</v>
      </c>
      <c r="K260" s="2" t="s">
        <v>19</v>
      </c>
      <c r="L260" s="2" t="s">
        <v>20</v>
      </c>
      <c r="M260" s="3">
        <v>1</v>
      </c>
      <c r="N260" s="2" t="s">
        <v>33</v>
      </c>
      <c r="O260" s="3">
        <v>88.8</v>
      </c>
    </row>
    <row r="261" spans="1:15" ht="14.4" x14ac:dyDescent="0.3">
      <c r="A261" s="2" t="s">
        <v>307</v>
      </c>
      <c r="B261" s="2" t="s">
        <v>31</v>
      </c>
      <c r="C261" s="2" t="s">
        <v>17</v>
      </c>
      <c r="D261" s="2" t="s">
        <v>26</v>
      </c>
      <c r="E261" s="3">
        <v>21</v>
      </c>
      <c r="F261" s="3">
        <v>16.100000000000001</v>
      </c>
      <c r="G261" s="3">
        <v>46.8</v>
      </c>
      <c r="H261" s="3">
        <v>6.2</v>
      </c>
      <c r="I261" s="3">
        <v>4</v>
      </c>
      <c r="J261" s="3">
        <v>4</v>
      </c>
      <c r="K261" s="2" t="s">
        <v>19</v>
      </c>
      <c r="L261" s="2" t="s">
        <v>59</v>
      </c>
      <c r="M261" s="3">
        <v>2</v>
      </c>
      <c r="N261" s="2" t="s">
        <v>33</v>
      </c>
      <c r="O261" s="3">
        <v>68.400000000000006</v>
      </c>
    </row>
  </sheetData>
  <mergeCells count="2">
    <mergeCell ref="R8:R9"/>
    <mergeCell ref="R10:R11"/>
  </mergeCells>
  <dataValidations count="1">
    <dataValidation type="custom" allowBlank="1" showInputMessage="1" showErrorMessage="1" sqref="I1" xr:uid="{582A11D7-943E-41D6-8DF1-A92AB5847A34}">
      <formula1>"cairo,alexandria,mansoura,menoufia"</formula1>
    </dataValidation>
  </dataValidation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62E7-AE23-42DB-9722-AFCA476FBC2A}">
  <dimension ref="A1:E49"/>
  <sheetViews>
    <sheetView topLeftCell="A9" zoomScale="91" workbookViewId="0">
      <selection activeCell="G56" sqref="G56"/>
    </sheetView>
  </sheetViews>
  <sheetFormatPr defaultRowHeight="13.2" x14ac:dyDescent="0.25"/>
  <cols>
    <col min="1" max="1" width="43.109375" bestFit="1" customWidth="1"/>
  </cols>
  <sheetData>
    <row r="1" spans="1:5" ht="14.4" x14ac:dyDescent="0.25">
      <c r="A1" s="8" t="s">
        <v>308</v>
      </c>
      <c r="B1" s="8" t="s">
        <v>309</v>
      </c>
      <c r="C1" s="7"/>
      <c r="D1" s="7"/>
      <c r="E1" s="7"/>
    </row>
    <row r="2" spans="1:5" ht="13.8" x14ac:dyDescent="0.25">
      <c r="A2" s="7" t="s">
        <v>310</v>
      </c>
      <c r="B2" s="7">
        <v>45.3</v>
      </c>
      <c r="C2" s="7"/>
      <c r="D2" s="7"/>
      <c r="E2" s="7"/>
    </row>
    <row r="3" spans="1:5" ht="13.8" x14ac:dyDescent="0.25">
      <c r="A3" s="7" t="s">
        <v>311</v>
      </c>
      <c r="B3" s="7">
        <v>33.049999999999997</v>
      </c>
      <c r="C3" s="7"/>
      <c r="D3" s="7"/>
      <c r="E3" s="7"/>
    </row>
    <row r="4" spans="1:5" ht="13.8" x14ac:dyDescent="0.25">
      <c r="A4" s="7" t="s">
        <v>312</v>
      </c>
      <c r="B4" s="7">
        <v>39.58</v>
      </c>
      <c r="C4" s="7"/>
      <c r="D4" s="7"/>
      <c r="E4" s="7"/>
    </row>
    <row r="5" spans="1:5" ht="13.8" x14ac:dyDescent="0.25">
      <c r="A5" s="7" t="s">
        <v>313</v>
      </c>
      <c r="B5" s="7">
        <v>37.979999999999997</v>
      </c>
      <c r="C5" s="7"/>
      <c r="D5" s="7"/>
      <c r="E5" s="7"/>
    </row>
    <row r="6" spans="1:5" ht="13.8" x14ac:dyDescent="0.25">
      <c r="A6" s="7" t="s">
        <v>314</v>
      </c>
      <c r="B6" s="7">
        <v>87.37</v>
      </c>
      <c r="C6" s="7"/>
      <c r="D6" s="7"/>
      <c r="E6" s="7"/>
    </row>
    <row r="7" spans="1:5" ht="13.8" x14ac:dyDescent="0.25">
      <c r="A7" s="7" t="s">
        <v>315</v>
      </c>
      <c r="B7" s="7">
        <v>12.37</v>
      </c>
      <c r="C7" s="7"/>
      <c r="D7" s="7"/>
      <c r="E7" s="7"/>
    </row>
    <row r="8" spans="1:5" ht="13.8" x14ac:dyDescent="0.25">
      <c r="A8" s="7" t="s">
        <v>316</v>
      </c>
      <c r="B8" s="7">
        <v>-36.590000000000003</v>
      </c>
      <c r="C8" s="7"/>
      <c r="D8" s="7"/>
      <c r="E8" s="7"/>
    </row>
    <row r="9" spans="1:5" ht="13.8" x14ac:dyDescent="0.25">
      <c r="A9" s="7" t="s">
        <v>317</v>
      </c>
      <c r="B9" s="7">
        <v>115.31</v>
      </c>
      <c r="C9" s="7"/>
      <c r="D9" s="7"/>
      <c r="E9" s="7"/>
    </row>
    <row r="10" spans="1:5" ht="13.8" x14ac:dyDescent="0.25">
      <c r="A10" s="7" t="s">
        <v>318</v>
      </c>
      <c r="B10" s="7">
        <v>15</v>
      </c>
      <c r="C10" s="7"/>
      <c r="D10" s="7"/>
      <c r="E10" s="7"/>
    </row>
    <row r="11" spans="1:5" ht="13.8" x14ac:dyDescent="0.25">
      <c r="A11" s="7" t="s">
        <v>319</v>
      </c>
      <c r="B11" s="7">
        <v>9.4600000000000009</v>
      </c>
      <c r="C11" s="7"/>
      <c r="D11" s="7"/>
      <c r="E11" s="7"/>
    </row>
    <row r="14" spans="1:5" ht="14.4" x14ac:dyDescent="0.25">
      <c r="A14" s="8" t="s">
        <v>1</v>
      </c>
      <c r="B14" s="8" t="s">
        <v>320</v>
      </c>
      <c r="C14" s="8" t="s">
        <v>42</v>
      </c>
      <c r="D14" s="8" t="s">
        <v>321</v>
      </c>
      <c r="E14" s="8" t="s">
        <v>322</v>
      </c>
    </row>
    <row r="15" spans="1:5" ht="13.8" x14ac:dyDescent="0.25">
      <c r="A15" s="7" t="s">
        <v>24</v>
      </c>
      <c r="B15" s="7">
        <v>52</v>
      </c>
      <c r="C15" s="7">
        <v>43.900000000000013</v>
      </c>
      <c r="D15" s="7">
        <v>33.349999999999987</v>
      </c>
      <c r="E15" s="7">
        <v>37.357252491658024</v>
      </c>
    </row>
    <row r="16" spans="1:5" ht="13.8" x14ac:dyDescent="0.25">
      <c r="A16" s="7" t="s">
        <v>16</v>
      </c>
      <c r="B16" s="7">
        <v>30</v>
      </c>
      <c r="C16" s="7">
        <v>25.90666666666667</v>
      </c>
      <c r="D16" s="7">
        <v>24.05</v>
      </c>
      <c r="E16" s="7">
        <v>16.127101484732169</v>
      </c>
    </row>
    <row r="17" spans="1:5" ht="13.8" x14ac:dyDescent="0.25">
      <c r="A17" s="7" t="s">
        <v>31</v>
      </c>
      <c r="B17" s="7">
        <v>98</v>
      </c>
      <c r="C17" s="7">
        <v>60.352040816326529</v>
      </c>
      <c r="D17" s="7">
        <v>46.599999999999987</v>
      </c>
      <c r="E17" s="7">
        <v>44.871689303465843</v>
      </c>
    </row>
    <row r="18" spans="1:5" ht="13.8" x14ac:dyDescent="0.25">
      <c r="A18" s="7" t="s">
        <v>36</v>
      </c>
      <c r="B18" s="7">
        <v>42</v>
      </c>
      <c r="C18" s="7">
        <v>32.259523809523813</v>
      </c>
      <c r="D18" s="7">
        <v>27.7</v>
      </c>
      <c r="E18" s="7">
        <v>30.063972925420138</v>
      </c>
    </row>
    <row r="19" spans="1:5" ht="13.8" x14ac:dyDescent="0.25">
      <c r="A19" s="7" t="s">
        <v>47</v>
      </c>
      <c r="B19" s="7">
        <v>32</v>
      </c>
      <c r="C19" s="7">
        <v>36.762500000000003</v>
      </c>
      <c r="D19" s="7">
        <v>27.55</v>
      </c>
      <c r="E19" s="7">
        <v>36.872524520517018</v>
      </c>
    </row>
    <row r="22" spans="1:5" ht="14.4" x14ac:dyDescent="0.25">
      <c r="A22" s="8" t="s">
        <v>0</v>
      </c>
      <c r="B22" s="8" t="s">
        <v>1</v>
      </c>
      <c r="C22" s="8" t="s">
        <v>6</v>
      </c>
      <c r="D22" s="8" t="s">
        <v>11</v>
      </c>
      <c r="E22" s="7"/>
    </row>
    <row r="23" spans="1:5" ht="13.8" x14ac:dyDescent="0.25">
      <c r="A23" s="7" t="s">
        <v>75</v>
      </c>
      <c r="B23" s="7" t="s">
        <v>31</v>
      </c>
      <c r="C23" s="7">
        <v>133.69999999999999</v>
      </c>
      <c r="D23" s="7" t="s">
        <v>27</v>
      </c>
      <c r="E23" s="7"/>
    </row>
    <row r="24" spans="1:5" ht="13.8" x14ac:dyDescent="0.25">
      <c r="A24" s="7" t="s">
        <v>103</v>
      </c>
      <c r="B24" s="7" t="s">
        <v>31</v>
      </c>
      <c r="C24" s="7">
        <v>142.30000000000001</v>
      </c>
      <c r="D24" s="7" t="s">
        <v>37</v>
      </c>
      <c r="E24" s="7"/>
    </row>
    <row r="25" spans="1:5" ht="13.8" x14ac:dyDescent="0.25">
      <c r="A25" s="7" t="s">
        <v>116</v>
      </c>
      <c r="B25" s="7" t="s">
        <v>36</v>
      </c>
      <c r="C25" s="7">
        <v>190.2</v>
      </c>
      <c r="D25" s="7" t="s">
        <v>37</v>
      </c>
      <c r="E25" s="7"/>
    </row>
    <row r="26" spans="1:5" ht="13.8" x14ac:dyDescent="0.25">
      <c r="A26" s="7" t="s">
        <v>124</v>
      </c>
      <c r="B26" s="7" t="s">
        <v>47</v>
      </c>
      <c r="C26" s="7">
        <v>209.8</v>
      </c>
      <c r="D26" s="7" t="s">
        <v>27</v>
      </c>
      <c r="E26" s="7"/>
    </row>
    <row r="27" spans="1:5" ht="13.8" x14ac:dyDescent="0.25">
      <c r="A27" s="7" t="s">
        <v>139</v>
      </c>
      <c r="B27" s="7" t="s">
        <v>31</v>
      </c>
      <c r="C27" s="7">
        <v>200</v>
      </c>
      <c r="D27" s="7" t="s">
        <v>27</v>
      </c>
      <c r="E27" s="7"/>
    </row>
    <row r="28" spans="1:5" ht="13.8" x14ac:dyDescent="0.25">
      <c r="A28" s="7" t="s">
        <v>153</v>
      </c>
      <c r="B28" s="7" t="s">
        <v>31</v>
      </c>
      <c r="C28" s="7">
        <v>256.5</v>
      </c>
      <c r="D28" s="7" t="s">
        <v>20</v>
      </c>
      <c r="E28" s="7"/>
    </row>
    <row r="29" spans="1:5" ht="13.8" x14ac:dyDescent="0.25">
      <c r="A29" s="7" t="s">
        <v>156</v>
      </c>
      <c r="B29" s="7" t="s">
        <v>31</v>
      </c>
      <c r="C29" s="7">
        <v>121.4</v>
      </c>
      <c r="D29" s="7" t="s">
        <v>20</v>
      </c>
      <c r="E29" s="7"/>
    </row>
    <row r="30" spans="1:5" ht="13.8" x14ac:dyDescent="0.25">
      <c r="A30" s="7" t="s">
        <v>165</v>
      </c>
      <c r="B30" s="7" t="s">
        <v>31</v>
      </c>
      <c r="C30" s="7">
        <v>120.2</v>
      </c>
      <c r="D30" s="7" t="s">
        <v>27</v>
      </c>
      <c r="E30" s="7"/>
    </row>
    <row r="31" spans="1:5" ht="13.8" x14ac:dyDescent="0.25">
      <c r="A31" s="7" t="s">
        <v>183</v>
      </c>
      <c r="B31" s="7" t="s">
        <v>31</v>
      </c>
      <c r="C31" s="7">
        <v>191.9</v>
      </c>
      <c r="D31" s="7" t="s">
        <v>59</v>
      </c>
      <c r="E31" s="7"/>
    </row>
    <row r="32" spans="1:5" ht="13.8" x14ac:dyDescent="0.25">
      <c r="A32" s="7" t="s">
        <v>199</v>
      </c>
      <c r="B32" s="7" t="s">
        <v>31</v>
      </c>
      <c r="C32" s="7">
        <v>176</v>
      </c>
      <c r="D32" s="7" t="s">
        <v>27</v>
      </c>
      <c r="E32" s="7"/>
    </row>
    <row r="33" spans="1:4" ht="13.8" x14ac:dyDescent="0.25">
      <c r="A33" s="7" t="s">
        <v>202</v>
      </c>
      <c r="B33" s="7" t="s">
        <v>31</v>
      </c>
      <c r="C33" s="7">
        <v>154</v>
      </c>
      <c r="D33" s="7" t="s">
        <v>54</v>
      </c>
    </row>
    <row r="34" spans="1:4" ht="13.8" x14ac:dyDescent="0.25">
      <c r="A34" s="7" t="s">
        <v>223</v>
      </c>
      <c r="B34" s="7" t="s">
        <v>31</v>
      </c>
      <c r="C34" s="7">
        <v>132</v>
      </c>
      <c r="D34" s="7" t="s">
        <v>54</v>
      </c>
    </row>
    <row r="35" spans="1:4" ht="13.8" x14ac:dyDescent="0.25">
      <c r="A35" s="7" t="s">
        <v>249</v>
      </c>
      <c r="B35" s="7" t="s">
        <v>24</v>
      </c>
      <c r="C35" s="7">
        <v>238.9</v>
      </c>
      <c r="D35" s="7" t="s">
        <v>27</v>
      </c>
    </row>
    <row r="36" spans="1:4" ht="13.8" x14ac:dyDescent="0.25">
      <c r="A36" s="7" t="s">
        <v>267</v>
      </c>
      <c r="B36" s="7" t="s">
        <v>31</v>
      </c>
      <c r="C36" s="7">
        <v>116.1</v>
      </c>
      <c r="D36" s="7" t="s">
        <v>27</v>
      </c>
    </row>
    <row r="37" spans="1:4" ht="13.8" x14ac:dyDescent="0.25">
      <c r="A37" s="7" t="s">
        <v>281</v>
      </c>
      <c r="B37" s="7" t="s">
        <v>31</v>
      </c>
      <c r="C37" s="7">
        <v>126.7</v>
      </c>
      <c r="D37" s="7" t="s">
        <v>27</v>
      </c>
    </row>
    <row r="40" spans="1:4" ht="14.4" x14ac:dyDescent="0.25">
      <c r="A40" s="8" t="s">
        <v>323</v>
      </c>
      <c r="B40" s="8" t="s">
        <v>324</v>
      </c>
      <c r="C40" s="7"/>
      <c r="D40" s="7"/>
    </row>
    <row r="41" spans="1:4" ht="13.8" x14ac:dyDescent="0.25">
      <c r="A41" s="7" t="s">
        <v>325</v>
      </c>
      <c r="B41" s="7" t="s">
        <v>326</v>
      </c>
      <c r="C41" s="7"/>
      <c r="D41" s="7"/>
    </row>
    <row r="42" spans="1:4" ht="13.8" x14ac:dyDescent="0.25">
      <c r="A42" s="7" t="s">
        <v>327</v>
      </c>
      <c r="B42" s="7" t="s">
        <v>328</v>
      </c>
      <c r="C42" s="7"/>
      <c r="D42" s="7"/>
    </row>
    <row r="43" spans="1:4" ht="13.8" x14ac:dyDescent="0.25">
      <c r="A43" s="7" t="s">
        <v>329</v>
      </c>
      <c r="B43" s="7" t="s">
        <v>330</v>
      </c>
      <c r="C43" s="7"/>
      <c r="D43" s="7"/>
    </row>
    <row r="44" spans="1:4" ht="13.8" x14ac:dyDescent="0.25">
      <c r="A44" s="7" t="s">
        <v>331</v>
      </c>
      <c r="B44" s="7" t="s">
        <v>332</v>
      </c>
      <c r="C44" s="7"/>
      <c r="D44" s="7"/>
    </row>
    <row r="45" spans="1:4" ht="13.8" x14ac:dyDescent="0.25">
      <c r="A45" s="7" t="s">
        <v>333</v>
      </c>
      <c r="B45" s="7" t="s">
        <v>334</v>
      </c>
      <c r="C45" s="7"/>
      <c r="D45" s="7"/>
    </row>
    <row r="46" spans="1:4" ht="13.8" x14ac:dyDescent="0.25">
      <c r="A46" s="7" t="s">
        <v>335</v>
      </c>
      <c r="B46" s="7" t="s">
        <v>336</v>
      </c>
      <c r="C46" s="7"/>
      <c r="D46" s="7"/>
    </row>
    <row r="47" spans="1:4" ht="13.8" x14ac:dyDescent="0.25">
      <c r="A47" s="7" t="s">
        <v>337</v>
      </c>
      <c r="B47" s="7" t="s">
        <v>338</v>
      </c>
      <c r="C47" s="7"/>
      <c r="D47" s="7"/>
    </row>
    <row r="48" spans="1:4" ht="13.8" x14ac:dyDescent="0.25">
      <c r="A48" s="7" t="s">
        <v>339</v>
      </c>
      <c r="B48" s="7" t="s">
        <v>340</v>
      </c>
      <c r="C48" s="7"/>
      <c r="D48" s="7"/>
    </row>
    <row r="49" spans="1:2" ht="13.8" x14ac:dyDescent="0.25">
      <c r="A49" s="7" t="s">
        <v>341</v>
      </c>
      <c r="B49" s="7" t="s">
        <v>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1"/>
  <sheetViews>
    <sheetView zoomScale="59" workbookViewId="0">
      <selection activeCell="C25" sqref="C25"/>
    </sheetView>
  </sheetViews>
  <sheetFormatPr defaultRowHeight="13.2" x14ac:dyDescent="0.25"/>
  <cols>
    <col min="2" max="2" width="37.33203125" bestFit="1" customWidth="1"/>
    <col min="3" max="3" width="64.5546875" bestFit="1" customWidth="1"/>
    <col min="4" max="4" width="12.21875" bestFit="1" customWidth="1"/>
    <col min="5" max="5" width="91.77734375" bestFit="1" customWidth="1"/>
    <col min="6" max="6" width="84.44140625" bestFit="1" customWidth="1"/>
  </cols>
  <sheetData>
    <row r="1" spans="1:6" ht="15.75" customHeight="1" x14ac:dyDescent="0.25">
      <c r="A1" s="6" t="s">
        <v>343</v>
      </c>
      <c r="B1" s="6" t="s">
        <v>344</v>
      </c>
      <c r="C1" s="6" t="s">
        <v>345</v>
      </c>
      <c r="D1" s="6" t="s">
        <v>346</v>
      </c>
      <c r="E1" s="6" t="s">
        <v>347</v>
      </c>
      <c r="F1" s="6" t="s">
        <v>348</v>
      </c>
    </row>
    <row r="2" spans="1:6" ht="15.75" customHeight="1" x14ac:dyDescent="0.25">
      <c r="A2">
        <v>1</v>
      </c>
      <c r="B2" t="s">
        <v>0</v>
      </c>
      <c r="C2" t="s">
        <v>349</v>
      </c>
      <c r="D2">
        <v>11</v>
      </c>
      <c r="E2" t="s">
        <v>350</v>
      </c>
      <c r="F2" t="s">
        <v>351</v>
      </c>
    </row>
    <row r="3" spans="1:6" ht="15.75" customHeight="1" x14ac:dyDescent="0.25">
      <c r="A3">
        <v>2</v>
      </c>
      <c r="B3" t="s">
        <v>352</v>
      </c>
      <c r="C3" t="s">
        <v>353</v>
      </c>
      <c r="D3">
        <v>15</v>
      </c>
      <c r="E3" t="s">
        <v>354</v>
      </c>
      <c r="F3" t="s">
        <v>355</v>
      </c>
    </row>
    <row r="4" spans="1:6" ht="15.75" customHeight="1" x14ac:dyDescent="0.25">
      <c r="A4">
        <v>3</v>
      </c>
      <c r="B4" t="s">
        <v>13</v>
      </c>
      <c r="C4" t="s">
        <v>356</v>
      </c>
      <c r="D4">
        <v>28</v>
      </c>
      <c r="E4" t="s">
        <v>357</v>
      </c>
      <c r="F4" t="s">
        <v>358</v>
      </c>
    </row>
    <row r="5" spans="1:6" ht="15.75" customHeight="1" x14ac:dyDescent="0.25">
      <c r="A5">
        <v>4</v>
      </c>
      <c r="B5" t="s">
        <v>4</v>
      </c>
      <c r="C5" t="s">
        <v>419</v>
      </c>
      <c r="D5">
        <v>8</v>
      </c>
      <c r="E5" t="s">
        <v>359</v>
      </c>
      <c r="F5" t="s">
        <v>360</v>
      </c>
    </row>
    <row r="6" spans="1:6" ht="15.75" customHeight="1" x14ac:dyDescent="0.25">
      <c r="A6">
        <v>5</v>
      </c>
      <c r="B6" t="s">
        <v>12</v>
      </c>
      <c r="C6" t="s">
        <v>410</v>
      </c>
      <c r="D6">
        <v>3</v>
      </c>
      <c r="E6" s="9" t="s">
        <v>411</v>
      </c>
      <c r="F6" t="s">
        <v>361</v>
      </c>
    </row>
    <row r="7" spans="1:6" ht="15.75" customHeight="1" x14ac:dyDescent="0.25">
      <c r="A7">
        <v>6</v>
      </c>
      <c r="B7" t="s">
        <v>9</v>
      </c>
      <c r="C7" t="s">
        <v>412</v>
      </c>
      <c r="D7">
        <v>9</v>
      </c>
      <c r="E7" t="s">
        <v>413</v>
      </c>
      <c r="F7" t="s">
        <v>362</v>
      </c>
    </row>
    <row r="8" spans="1:6" ht="15.75" customHeight="1" x14ac:dyDescent="0.25">
      <c r="A8">
        <v>7</v>
      </c>
      <c r="B8" t="s">
        <v>7</v>
      </c>
      <c r="C8" t="s">
        <v>363</v>
      </c>
      <c r="D8">
        <v>15</v>
      </c>
      <c r="E8" s="9" t="s">
        <v>364</v>
      </c>
      <c r="F8" t="s">
        <v>365</v>
      </c>
    </row>
    <row r="9" spans="1:6" ht="15.75" customHeight="1" x14ac:dyDescent="0.25">
      <c r="A9">
        <v>8</v>
      </c>
      <c r="B9" t="s">
        <v>6</v>
      </c>
      <c r="C9" s="9" t="s">
        <v>414</v>
      </c>
      <c r="D9">
        <v>6</v>
      </c>
      <c r="E9" t="s">
        <v>415</v>
      </c>
      <c r="F9" t="s">
        <v>366</v>
      </c>
    </row>
    <row r="10" spans="1:6" ht="15.75" customHeight="1" x14ac:dyDescent="0.25">
      <c r="A10">
        <v>9</v>
      </c>
      <c r="B10" t="s">
        <v>6</v>
      </c>
      <c r="C10" t="s">
        <v>416</v>
      </c>
      <c r="D10">
        <v>12</v>
      </c>
      <c r="E10" s="9" t="s">
        <v>417</v>
      </c>
      <c r="F10" t="s">
        <v>367</v>
      </c>
    </row>
    <row r="11" spans="1:6" ht="15.75" customHeight="1" x14ac:dyDescent="0.25">
      <c r="A11">
        <v>10</v>
      </c>
      <c r="B11" t="s">
        <v>14</v>
      </c>
      <c r="C11" t="s">
        <v>418</v>
      </c>
      <c r="D11">
        <v>8</v>
      </c>
      <c r="E11" s="9" t="s">
        <v>368</v>
      </c>
      <c r="F11" t="s">
        <v>369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3A12E-9DDD-40DD-8316-EDAB8B181F7E}">
  <dimension ref="A1:D16"/>
  <sheetViews>
    <sheetView zoomScale="104" zoomScaleNormal="115" workbookViewId="0">
      <selection activeCell="B18" sqref="B18"/>
    </sheetView>
  </sheetViews>
  <sheetFormatPr defaultRowHeight="13.8" x14ac:dyDescent="0.3"/>
  <cols>
    <col min="1" max="1" width="18.21875" style="10" customWidth="1"/>
    <col min="2" max="2" width="33" style="10" customWidth="1"/>
    <col min="3" max="3" width="28.33203125" style="10" customWidth="1"/>
    <col min="4" max="4" width="72.77734375" style="10" bestFit="1" customWidth="1"/>
    <col min="5" max="16384" width="8.88671875" style="10"/>
  </cols>
  <sheetData>
    <row r="1" spans="1:4" ht="14.4" x14ac:dyDescent="0.3">
      <c r="A1" s="11" t="s">
        <v>370</v>
      </c>
      <c r="B1" s="11" t="s">
        <v>371</v>
      </c>
      <c r="C1" s="11" t="s">
        <v>372</v>
      </c>
      <c r="D1" s="11" t="s">
        <v>373</v>
      </c>
    </row>
    <row r="2" spans="1:4" ht="15" customHeight="1" x14ac:dyDescent="0.3">
      <c r="A2" s="12" t="s">
        <v>0</v>
      </c>
      <c r="B2" s="12" t="s">
        <v>374</v>
      </c>
      <c r="C2" s="12" t="s">
        <v>375</v>
      </c>
      <c r="D2" s="12" t="s">
        <v>376</v>
      </c>
    </row>
    <row r="3" spans="1:4" ht="14.4" x14ac:dyDescent="0.3">
      <c r="A3" s="12" t="s">
        <v>1</v>
      </c>
      <c r="B3" s="12" t="s">
        <v>377</v>
      </c>
      <c r="C3" s="12" t="s">
        <v>378</v>
      </c>
      <c r="D3" s="12" t="s">
        <v>379</v>
      </c>
    </row>
    <row r="4" spans="1:4" ht="14.4" x14ac:dyDescent="0.3">
      <c r="A4" s="12" t="s">
        <v>2</v>
      </c>
      <c r="B4" s="12" t="s">
        <v>380</v>
      </c>
      <c r="C4" s="12" t="s">
        <v>378</v>
      </c>
      <c r="D4" s="12" t="s">
        <v>381</v>
      </c>
    </row>
    <row r="5" spans="1:4" ht="14.4" x14ac:dyDescent="0.3">
      <c r="A5" s="12" t="s">
        <v>3</v>
      </c>
      <c r="B5" s="12" t="s">
        <v>382</v>
      </c>
      <c r="C5" s="12" t="s">
        <v>378</v>
      </c>
      <c r="D5" s="12" t="s">
        <v>383</v>
      </c>
    </row>
    <row r="6" spans="1:4" ht="14.4" x14ac:dyDescent="0.3">
      <c r="A6" s="12" t="s">
        <v>4</v>
      </c>
      <c r="B6" s="12" t="s">
        <v>384</v>
      </c>
      <c r="C6" s="12" t="s">
        <v>385</v>
      </c>
      <c r="D6" s="12" t="s">
        <v>386</v>
      </c>
    </row>
    <row r="7" spans="1:4" ht="18" customHeight="1" x14ac:dyDescent="0.3">
      <c r="A7" s="12" t="s">
        <v>5</v>
      </c>
      <c r="B7" s="12" t="s">
        <v>387</v>
      </c>
      <c r="C7" s="12" t="s">
        <v>388</v>
      </c>
      <c r="D7" s="12" t="s">
        <v>389</v>
      </c>
    </row>
    <row r="8" spans="1:4" ht="21" customHeight="1" x14ac:dyDescent="0.3">
      <c r="A8" s="12" t="s">
        <v>6</v>
      </c>
      <c r="B8" s="12" t="s">
        <v>390</v>
      </c>
      <c r="C8" s="12" t="s">
        <v>388</v>
      </c>
      <c r="D8" s="12" t="s">
        <v>391</v>
      </c>
    </row>
    <row r="9" spans="1:4" ht="16.8" customHeight="1" x14ac:dyDescent="0.3">
      <c r="A9" s="12" t="s">
        <v>7</v>
      </c>
      <c r="B9" s="12" t="s">
        <v>392</v>
      </c>
      <c r="C9" s="12" t="s">
        <v>388</v>
      </c>
      <c r="D9" s="12" t="s">
        <v>393</v>
      </c>
    </row>
    <row r="10" spans="1:4" ht="18" customHeight="1" x14ac:dyDescent="0.3">
      <c r="A10" s="12" t="s">
        <v>8</v>
      </c>
      <c r="B10" s="12" t="s">
        <v>394</v>
      </c>
      <c r="C10" s="12" t="s">
        <v>385</v>
      </c>
      <c r="D10" s="12" t="s">
        <v>395</v>
      </c>
    </row>
    <row r="11" spans="1:4" ht="19.2" customHeight="1" x14ac:dyDescent="0.3">
      <c r="A11" s="12" t="s">
        <v>9</v>
      </c>
      <c r="B11" s="12" t="s">
        <v>396</v>
      </c>
      <c r="C11" s="12" t="s">
        <v>397</v>
      </c>
      <c r="D11" s="12" t="s">
        <v>398</v>
      </c>
    </row>
    <row r="12" spans="1:4" ht="17.399999999999999" customHeight="1" x14ac:dyDescent="0.3">
      <c r="A12" s="12" t="s">
        <v>10</v>
      </c>
      <c r="B12" s="12" t="s">
        <v>399</v>
      </c>
      <c r="C12" s="12" t="s">
        <v>400</v>
      </c>
      <c r="D12" s="12" t="s">
        <v>401</v>
      </c>
    </row>
    <row r="13" spans="1:4" ht="19.8" customHeight="1" x14ac:dyDescent="0.3">
      <c r="A13" s="12" t="s">
        <v>11</v>
      </c>
      <c r="B13" s="12" t="s">
        <v>402</v>
      </c>
      <c r="C13" s="12" t="s">
        <v>378</v>
      </c>
      <c r="D13" s="12" t="s">
        <v>403</v>
      </c>
    </row>
    <row r="14" spans="1:4" ht="20.399999999999999" customHeight="1" x14ac:dyDescent="0.3">
      <c r="A14" s="12" t="s">
        <v>12</v>
      </c>
      <c r="B14" s="12" t="s">
        <v>404</v>
      </c>
      <c r="C14" s="12" t="s">
        <v>385</v>
      </c>
      <c r="D14" s="12" t="s">
        <v>405</v>
      </c>
    </row>
    <row r="15" spans="1:4" ht="14.4" x14ac:dyDescent="0.3">
      <c r="A15" s="12" t="s">
        <v>13</v>
      </c>
      <c r="B15" s="12" t="s">
        <v>406</v>
      </c>
      <c r="C15" s="12" t="s">
        <v>378</v>
      </c>
      <c r="D15" s="12" t="s">
        <v>407</v>
      </c>
    </row>
    <row r="16" spans="1:4" ht="18" customHeight="1" x14ac:dyDescent="0.3">
      <c r="A16" s="12" t="s">
        <v>14</v>
      </c>
      <c r="B16" s="12" t="s">
        <v>408</v>
      </c>
      <c r="C16" s="12" t="s">
        <v>388</v>
      </c>
      <c r="D16" s="12"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Part A_classifictaion</vt:lpstr>
      <vt:lpstr>Part B_cleaned sheet</vt:lpstr>
      <vt:lpstr>Part C</vt:lpstr>
      <vt:lpstr>cleaning log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Edge</dc:creator>
  <cp:lastModifiedBy>Hana Wagdy</cp:lastModifiedBy>
  <dcterms:created xsi:type="dcterms:W3CDTF">2026-09-14T15:52:43Z</dcterms:created>
  <dcterms:modified xsi:type="dcterms:W3CDTF">2026-09-14T17:11:56Z</dcterms:modified>
</cp:coreProperties>
</file>